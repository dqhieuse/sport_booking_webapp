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dmin/Documents/Personal/Personal Project/Sport Booking WebApp/outputs/"/>
    </mc:Choice>
  </mc:AlternateContent>
  <xr:revisionPtr revIDLastSave="0" documentId="13_ncr:1_{9F96A9E9-947A-BC4E-BF3D-683CD1EB1492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Usage Guide" sheetId="1" r:id="rId1"/>
    <sheet name="Dashboard" sheetId="2" r:id="rId2"/>
    <sheet name="Product Backlog" sheetId="3" r:id="rId3"/>
    <sheet name="Sprint Plan" sheetId="4" r:id="rId4"/>
    <sheet name="Sprint Board" sheetId="5" r:id="rId5"/>
    <sheet name="Release Checklist" sheetId="6" r:id="rId6"/>
    <sheet name="Risks" sheetId="7" r:id="rId7"/>
    <sheet name="Demo Scripts" sheetId="8" r:id="rId8"/>
    <sheet name="Lookups" sheetId="9" r:id="rId9"/>
  </sheets>
  <definedNames>
    <definedName name="_xlnm._FilterDatabase" localSheetId="2" hidden="1">'Product Backlog'!$A$1:$K$37</definedName>
    <definedName name="_xlnm._FilterDatabase" localSheetId="5" hidden="1">'Release Checklist'!$A$1:$F$1</definedName>
    <definedName name="_xlnm._FilterDatabase" localSheetId="4" hidden="1">'Sprint Board'!$A$1:$N$135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E8" i="7"/>
  <c r="E7" i="7"/>
  <c r="E6" i="7"/>
  <c r="E5" i="7"/>
  <c r="E4" i="7"/>
  <c r="E3" i="7"/>
  <c r="E2" i="7"/>
  <c r="H12" i="2"/>
  <c r="G12" i="2"/>
  <c r="F12" i="2"/>
  <c r="E12" i="2"/>
  <c r="D12" i="2"/>
  <c r="H11" i="2"/>
  <c r="G11" i="2"/>
  <c r="F11" i="2"/>
  <c r="E11" i="2"/>
  <c r="D11" i="2"/>
  <c r="H10" i="2"/>
  <c r="G10" i="2"/>
  <c r="F10" i="2"/>
  <c r="E10" i="2"/>
  <c r="D10" i="2"/>
  <c r="H9" i="2"/>
  <c r="G9" i="2"/>
  <c r="F9" i="2"/>
  <c r="E9" i="2"/>
  <c r="D9" i="2"/>
  <c r="B9" i="2"/>
  <c r="H8" i="2"/>
  <c r="G8" i="2"/>
  <c r="F8" i="2"/>
  <c r="E8" i="2"/>
  <c r="D8" i="2"/>
  <c r="B8" i="2"/>
  <c r="H7" i="2"/>
  <c r="G7" i="2"/>
  <c r="F7" i="2"/>
  <c r="E7" i="2"/>
  <c r="D7" i="2"/>
  <c r="B7" i="2"/>
  <c r="H6" i="2"/>
  <c r="G6" i="2"/>
  <c r="F6" i="2"/>
  <c r="E6" i="2"/>
  <c r="D6" i="2"/>
  <c r="B6" i="2"/>
  <c r="H5" i="2"/>
  <c r="F5" i="2"/>
  <c r="E5" i="2"/>
  <c r="D5" i="2"/>
  <c r="B5" i="2"/>
  <c r="H4" i="2"/>
  <c r="G4" i="2"/>
  <c r="F4" i="2"/>
  <c r="E4" i="2"/>
  <c r="D4" i="2"/>
  <c r="B4" i="2"/>
</calcChain>
</file>

<file path=xl/sharedStrings.xml><?xml version="1.0" encoding="utf-8"?>
<sst xmlns="http://schemas.openxmlformats.org/spreadsheetml/2006/main" count="2059" uniqueCount="876">
  <si>
    <t>Hướng Dẫn Sử Dụng Agile Tracker - Sport Booking WebApp</t>
  </si>
  <si>
    <t>Bước</t>
  </si>
  <si>
    <t>Thời điểm</t>
  </si>
  <si>
    <t>Sheet</t>
  </si>
  <si>
    <t>Cần cập nhật</t>
  </si>
  <si>
    <t>Cách sử dụng</t>
  </si>
  <si>
    <t>Kết quả mong đợi</t>
  </si>
  <si>
    <t>Trước khi bắt đầu Sprint</t>
  </si>
  <si>
    <t>Product Backlog</t>
  </si>
  <si>
    <t>Priority, Target Sprint, Status, Owner, Story Points</t>
  </si>
  <si>
    <t>Chọn các hạng mục sẽ làm và chuyển sang Ready hoặc To Do. Các hạng mục chưa rõ yêu cầu/API thì giữ ở Backlog.</t>
  </si>
  <si>
    <t>Phạm vi Sprint rõ ràng, vừa sức và sẵn sàng thực hiện.</t>
  </si>
  <si>
    <t>Lập kế hoạch Sprint</t>
  </si>
  <si>
    <t>Sprint Plan</t>
  </si>
  <si>
    <t>Start Date, End Date, Status, Planned SP</t>
  </si>
  <si>
    <t>Xác nhận mục tiêu Sprint, năng lực thực hiện và kịch bản demo. Không nhồi quá nhiều việc so với thời gian có thể làm.</t>
  </si>
  <si>
    <t>Sprint có mục tiêu rõ và có kết quả demo đo được.</t>
  </si>
  <si>
    <t>Làm việc hằng ngày</t>
  </si>
  <si>
    <t>Sprint Board</t>
  </si>
  <si>
    <t>Status, Blocker, Next Action</t>
  </si>
  <si>
    <t>Dùng sheet này như bảng công việc chính. Chuyển task từ To Do sang In Progress, Review, Done hoặc Blocked.</t>
  </si>
  <si>
    <t>Trạng thái công việc hiện tại được nhìn thấy rõ.</t>
  </si>
  <si>
    <t>Khi hoàn thành task</t>
  </si>
  <si>
    <t>Product Backlog + Sprint Board</t>
  </si>
  <si>
    <t>Status</t>
  </si>
  <si>
    <t>Chỉ đánh dấu Done sau khi đã kiểm tra backend/UI/thủ công theo Definition of Done.</t>
  </si>
  <si>
    <t>Các chỉ số trên Dashboard tự động cập nhật.</t>
  </si>
  <si>
    <t>Trong quá trình phát triển</t>
  </si>
  <si>
    <t>Risks</t>
  </si>
  <si>
    <t>Impact, Probability, Mitigation, Status, Review Notes</t>
  </si>
  <si>
    <t>Ghi rủi ro càng sớm càng tốt. Rủi ro có mức độ nghiêm trọng cao cần được xem lại trước demo Sprint.</t>
  </si>
  <si>
    <t>Rủi ro được theo dõi trước khi biến thành blocker.</t>
  </si>
  <si>
    <t>Trước buổi demo</t>
  </si>
  <si>
    <t>Demo Scripts</t>
  </si>
  <si>
    <t>Chạy đúng các bước demo đã ghi. Nếu flow bị lỗi, đánh dấu Blocked và ghi vấn đề vào notes/backlog.</t>
  </si>
  <si>
    <t>Kết quả demo rõ ràng và có thể lặp lại.</t>
  </si>
  <si>
    <t>Trước khi deploy</t>
  </si>
  <si>
    <t>Release Checklist</t>
  </si>
  <si>
    <t>Status, Evidence / Link, Notes</t>
  </si>
  <si>
    <t>Hoàn thành các mục Must trước. Evidence có thể là API collection, URL deploy, kết quả test hoặc mục trong README.</t>
  </si>
  <si>
    <t>Bản demo production không phụ thuộc vào cấu hình local.</t>
  </si>
  <si>
    <t>Cuối Sprint</t>
  </si>
  <si>
    <t>Dashboard</t>
  </si>
  <si>
    <t>Chỉ xem lại</t>
  </si>
  <si>
    <t>Kiểm tra số lượng backlog, task bị blocked, tiến độ release, rủi ro còn mở và trạng thái Sprint.</t>
  </si>
  <si>
    <t>Sprint review dựa trên dữ liệu thật, không dựa vào cảm tính.</t>
  </si>
  <si>
    <t>Nguyên tắc quan trọng</t>
  </si>
  <si>
    <t>Chi tiết</t>
  </si>
  <si>
    <t>Trạng thái thường dùng</t>
  </si>
  <si>
    <t>Ý nghĩa</t>
  </si>
  <si>
    <t>Khi nào dùng</t>
  </si>
  <si>
    <t>Không đánh dấu Done quá sớm</t>
  </si>
  <si>
    <t>Done nghĩa là code chạy được, API/UI đã được kiểm tra, quyền truy cập đã đúng và docs đã được cập nhật nếu cần.</t>
  </si>
  <si>
    <t>Backlog</t>
  </si>
  <si>
    <t>Chưa sẵn sàng hoặc chưa được chọn để làm</t>
  </si>
  <si>
    <t>Ý tưởng, phạm vi tương lai hoặc hạng mục chưa rõ</t>
  </si>
  <si>
    <t>Giữ trạng thái nhất quán</t>
  </si>
  <si>
    <t>Nếu một backlog item đã Done thì task liên quan trong Sprint Board cũng nên Done hoặc phải có lý do rõ ràng.</t>
  </si>
  <si>
    <t>Ready</t>
  </si>
  <si>
    <t>Đã đủ rõ để bắt đầu thực hiện</t>
  </si>
  <si>
    <t>Docs/API/acceptance criteria đã rõ</t>
  </si>
  <si>
    <t>Luôn nghĩ theo hướng production</t>
  </si>
  <si>
    <t>Tránh cấu hình chỉ chạy được ở localhost, hard-code secret hoặc thay đổi database thủ công không thể lặp lại.</t>
  </si>
  <si>
    <t>To Do</t>
  </si>
  <si>
    <t>Đã được chọn cho Sprint hiện tại</t>
  </si>
  <si>
    <t>Việc trong Sprint nhưng chưa bắt đầu</t>
  </si>
  <si>
    <t>Mỗi Sprint phải demo được</t>
  </si>
  <si>
    <t>Mỗi Sprint nên kết thúc bằng một flow thật có thể trình bày trên browser hoặc Postman.</t>
  </si>
  <si>
    <t>In Progress</t>
  </si>
  <si>
    <t>Đang được thực hiện</t>
  </si>
  <si>
    <t>Developer đang code hoặc kiểm thử</t>
  </si>
  <si>
    <t>Ưu tiên task nhỏ</t>
  </si>
  <si>
    <t>Nếu task lớn hơn 13 story points, nên tách thành backend, frontend, testing hoặc deployment task.</t>
  </si>
  <si>
    <t>Review</t>
  </si>
  <si>
    <t>Đã làm xong nhưng cần kiểm tra</t>
  </si>
  <si>
    <t>Đang chờ test/review/demo check</t>
  </si>
  <si>
    <t>Cập nhật rủi ro hằng tuần</t>
  </si>
  <si>
    <t>Rủi ro có severity cao cần có người phụ trách mitigation và hành động tiếp theo.</t>
  </si>
  <si>
    <t>Done</t>
  </si>
  <si>
    <t>Đạt Definition of Done</t>
  </si>
  <si>
    <t>Đã kiểm tra và có thể sử dụng</t>
  </si>
  <si>
    <t>Blocked</t>
  </si>
  <si>
    <t>Không thể tiếp tục nếu chưa xử lý vấn đề</t>
  </si>
  <si>
    <t>Cần quyết định, dependency hoặc sửa lỗi</t>
  </si>
  <si>
    <t>Phân biệt Product Backlog và Sprint Board</t>
  </si>
  <si>
    <t>Mục đích</t>
  </si>
  <si>
    <t>Phạm vi</t>
  </si>
  <si>
    <t>Ai dùng chính</t>
  </si>
  <si>
    <t>Cập nhật khi nào</t>
  </si>
  <si>
    <t>Ví dụ đúng</t>
  </si>
  <si>
    <t>Quản lý toàn bộ yêu cầu, feature, user story và technical item của cả dự án.</t>
  </si>
  <si>
    <t>Toàn dự án: việc đang làm, sắp làm và có thể làm sau.</t>
  </si>
  <si>
    <t>Product Owner, Developer</t>
  </si>
  <si>
    <t>Khi thêm yêu cầu mới, đổi ưu tiên, chọn việc cho Sprint hoặc hoàn tất một backlog item.</t>
  </si>
  <si>
    <t>PB-019: Implement booking creation with duplicate protection.</t>
  </si>
  <si>
    <t>Theo dõi các task cụ thể được tách ra từ backlog item trong Sprint.</t>
  </si>
  <si>
    <t>Sprint hiện tại hoặc task đang cần theo dõi hằng ngày.</t>
  </si>
  <si>
    <t>Developer, Tester</t>
  </si>
  <si>
    <t>Cập nhật hằng ngày khi task chuyển To Do, In Progress, Review, Done hoặc Blocked.</t>
  </si>
  <si>
    <t>SB-010 gắn Backlog ID = PB-019 để test duplicate booking.</t>
  </si>
  <si>
    <t>Cách dùng đúng theo quy trình Sprint</t>
  </si>
  <si>
    <t>Việc cần làm</t>
  </si>
  <si>
    <t>Kết quả</t>
  </si>
  <si>
    <t>Lưu ý</t>
  </si>
  <si>
    <t>Chuẩn bị Sprint</t>
  </si>
  <si>
    <t>Chọn item ưu tiên cao, gán Target Sprint, chuyển Status sang Ready.</t>
  </si>
  <si>
    <t>Chưa cần cập nhật hoặc chỉ tạo task nháp nếu chắc chắn.</t>
  </si>
  <si>
    <t>Biết Sprint sắp làm backlog item nào.</t>
  </si>
  <si>
    <t>Không chọn item chưa rõ acceptance criteria.</t>
  </si>
  <si>
    <t>Sprint Planning</t>
  </si>
  <si>
    <t>Chốt item sẽ làm, có thể chuyển Status sang To Do.</t>
  </si>
  <si>
    <t>Tạo task cụ thể và điền Backlog ID tương ứng.</t>
  </si>
  <si>
    <t>Sprint có danh sách task rõ để bắt đầu.</t>
  </si>
  <si>
    <t>Một backlog item có thể có nhiều task.</t>
  </si>
  <si>
    <t>Trong Sprint</t>
  </si>
  <si>
    <t>Ít thay đổi, chỉ cập nhật nếu phạm vi hoặc trạng thái tổng thể đổi.</t>
  </si>
  <si>
    <t>Cập nhật task hằng ngày: To Do, In Progress, Review, Done, Blocked.</t>
  </si>
  <si>
    <t>Nhìn được tiến độ thật và blocker.</t>
  </si>
  <si>
    <t>Không dùng Product Backlog thay cho board hằng ngày.</t>
  </si>
  <si>
    <t>Khi task xong</t>
  </si>
  <si>
    <t>Chưa vội đánh dấu backlog item Done nếu các task liên quan chưa xong.</t>
  </si>
  <si>
    <t>Đánh dấu task Done sau khi kiểm tra xong phần việc đó.</t>
  </si>
  <si>
    <t>Sprint Board phản ánh tiến độ thật.</t>
  </si>
  <si>
    <t>Task Done chưa chắc backlog item đã Done.</t>
  </si>
  <si>
    <t>Khi backlog item xong</t>
  </si>
  <si>
    <t>Đánh dấu Done sau khi toàn bộ flow/API/UI/test đạt Definition of Done.</t>
  </si>
  <si>
    <t>Các task liên quan nên Done hoặc có ghi chú rõ.</t>
  </si>
  <si>
    <t>Dashboard cập nhật số Done chính xác.</t>
  </si>
  <si>
    <t>Done theo giá trị sản phẩm, không chỉ theo số task.</t>
  </si>
  <si>
    <t>Item chưa xong chuyển lại Backlog/Ready hoặc dời Target Sprint.</t>
  </si>
  <si>
    <t>Task chưa xong chuyển Blocked/Moved hoặc tạo lại ở Sprint sau.</t>
  </si>
  <si>
    <t>Sprint review và Sprint tiếp theo rõ ràng.</t>
  </si>
  <si>
    <t>Không để task treo mà không có quyết định.</t>
  </si>
  <si>
    <t>Sport Booking WebApp - Agile Project Dashboard</t>
  </si>
  <si>
    <t>Metric</t>
  </si>
  <si>
    <t>Value</t>
  </si>
  <si>
    <t>Sprint</t>
  </si>
  <si>
    <t>Goal</t>
  </si>
  <si>
    <t>Planned SP</t>
  </si>
  <si>
    <t>Demo</t>
  </si>
  <si>
    <t>Backlog Items</t>
  </si>
  <si>
    <t>Done Items</t>
  </si>
  <si>
    <t>In Progress Items</t>
  </si>
  <si>
    <t>Blocked Items</t>
  </si>
  <si>
    <t>Release Checklist Done</t>
  </si>
  <si>
    <t>Open Risks</t>
  </si>
  <si>
    <t>Release Milestone</t>
  </si>
  <si>
    <t>Included Through</t>
  </si>
  <si>
    <t>MVP Alpha</t>
  </si>
  <si>
    <t>Sprint 4 - public browsing, local auth, vendor setup, cash booking</t>
  </si>
  <si>
    <t>MVP Beta</t>
  </si>
  <si>
    <t>Sprint 6 - VNPAY sandbox, vendor booking, admin moderation</t>
  </si>
  <si>
    <t>MVP Production Demo</t>
  </si>
  <si>
    <t>Sprint 8 - deployment, demo data, README, smoke tests</t>
  </si>
  <si>
    <t>Current Focus</t>
  </si>
  <si>
    <t>Complete Sprint 0 before expanding scope</t>
  </si>
  <si>
    <t>Rule</t>
  </si>
  <si>
    <t>Working software over unfinished broad feature branches</t>
  </si>
  <si>
    <t>Next Review</t>
  </si>
  <si>
    <t>End of each sprint demo</t>
  </si>
  <si>
    <t>ID</t>
  </si>
  <si>
    <t>Epic</t>
  </si>
  <si>
    <t>User Story / Task</t>
  </si>
  <si>
    <t>Role</t>
  </si>
  <si>
    <t>Priority</t>
  </si>
  <si>
    <t>Target Sprint</t>
  </si>
  <si>
    <t>Owner</t>
  </si>
  <si>
    <t>Story Points</t>
  </si>
  <si>
    <t>Acceptance Criteria</t>
  </si>
  <si>
    <t>Notes</t>
  </si>
  <si>
    <t>PB-001</t>
  </si>
  <si>
    <t>Foundation</t>
  </si>
  <si>
    <t>Initialize Spring Boot backend project</t>
  </si>
  <si>
    <t>ADMIN</t>
  </si>
  <si>
    <t>Must</t>
  </si>
  <si>
    <t>Sprint 0</t>
  </si>
  <si>
    <t>Developer</t>
  </si>
  <si>
    <t>Backend starts locally and exposes health check</t>
  </si>
  <si>
    <t>PB-002</t>
  </si>
  <si>
    <t>Initialize React frontend with Tailwind CSS</t>
  </si>
  <si>
    <t>Guest</t>
  </si>
  <si>
    <t>Frontend starts locally at Vite dev URL</t>
  </si>
  <si>
    <t>PB-003</t>
  </si>
  <si>
    <t>Configure PostgreSQL and migration tooling</t>
  </si>
  <si>
    <t>Migrations run successfully against PostgreSQL</t>
  </si>
  <si>
    <t>Prefer Flyway or Liquibase</t>
  </si>
  <si>
    <t>PB-004</t>
  </si>
  <si>
    <t>Create README and environment examples</t>
  </si>
  <si>
    <t>New developer can run project from README</t>
  </si>
  <si>
    <t>PB-005</t>
  </si>
  <si>
    <t>Public Browsing</t>
  </si>
  <si>
    <t>Create core entities and repositories</t>
  </si>
  <si>
    <t>Sprint 1</t>
  </si>
  <si>
    <t>Tables match docs 04 and app starts without JPA errors</t>
  </si>
  <si>
    <t>PB-006</t>
  </si>
  <si>
    <t>Seed roles, sports, time slots, vendor, venues, and courts</t>
  </si>
  <si>
    <t>Demo data appears after migration/seed</t>
  </si>
  <si>
    <t>PB-007</t>
  </si>
  <si>
    <t>Implement sports, venues, courts public APIs</t>
  </si>
  <si>
    <t>APIs match docs 05 and return DTOs</t>
  </si>
  <si>
    <t>PB-008</t>
  </si>
  <si>
    <t>Build public court browsing pages</t>
  </si>
  <si>
    <t>Guest can browse courts from real API data</t>
  </si>
  <si>
    <t>PB-009</t>
  </si>
  <si>
    <t>Auth</t>
  </si>
  <si>
    <t>Implement local registration and email verification</t>
  </si>
  <si>
    <t>USER</t>
  </si>
  <si>
    <t>Sprint 2</t>
  </si>
  <si>
    <t>Unverified local account cannot log in</t>
  </si>
  <si>
    <t>PB-010</t>
  </si>
  <si>
    <t>Implement login, JWT access token, refresh token rotation, logout</t>
  </si>
  <si>
    <t>Tokens work and old refresh token is revoked</t>
  </si>
  <si>
    <t>PB-011</t>
  </si>
  <si>
    <t>Build login/register/profile frontend</t>
  </si>
  <si>
    <t>User can complete auth flow in browser</t>
  </si>
  <si>
    <t>PB-012</t>
  </si>
  <si>
    <t>Implement avatar upload with shared storage service</t>
  </si>
  <si>
    <t>Avatar URL is saved to users.avatar_url</t>
  </si>
  <si>
    <t>PB-013</t>
  </si>
  <si>
    <t>Vendor Setup</t>
  </si>
  <si>
    <t>Implement vendor venue CRUD with ownership checks</t>
  </si>
  <si>
    <t>VENDOR</t>
  </si>
  <si>
    <t>Sprint 3</t>
  </si>
  <si>
    <t>Vendor can manage only own venues</t>
  </si>
  <si>
    <t>PB-014</t>
  </si>
  <si>
    <t>Implement vendor court CRUD with ownership checks</t>
  </si>
  <si>
    <t>Vendor can manage only courts under own venues</t>
  </si>
  <si>
    <t>PB-015</t>
  </si>
  <si>
    <t>Implement venue and court image APIs</t>
  </si>
  <si>
    <t>sortOrder and primary image rules are transactional</t>
  </si>
  <si>
    <t>PB-016</t>
  </si>
  <si>
    <t>Implement court time slot configuration APIs</t>
  </si>
  <si>
    <t>Vendor can enable/disable slots for own courts</t>
  </si>
  <si>
    <t>PB-017</t>
  </si>
  <si>
    <t>Build vendor venue/court/image/slot UI</t>
  </si>
  <si>
    <t>Vendor can prepare a bookable court from UI</t>
  </si>
  <si>
    <t>PB-018</t>
  </si>
  <si>
    <t>Booking</t>
  </si>
  <si>
    <t>Implement available slots by court and date</t>
  </si>
  <si>
    <t>Sprint 4</t>
  </si>
  <si>
    <t>Only active and unbooked court slots are returned</t>
  </si>
  <si>
    <t>PB-019</t>
  </si>
  <si>
    <t>Implement booking creation with duplicate protection</t>
  </si>
  <si>
    <t>Same court/date/slot cannot be double-booked</t>
  </si>
  <si>
    <t>PB-020</t>
  </si>
  <si>
    <t>Implement user booking history/detail/cancel APIs</t>
  </si>
  <si>
    <t>User can manage own bookings only</t>
  </si>
  <si>
    <t>PB-021</t>
  </si>
  <si>
    <t>Implement vendor booking management and cash payment marking</t>
  </si>
  <si>
    <t>Vendor can confirm/reject/cancel and mark cash paid</t>
  </si>
  <si>
    <t>PB-022</t>
  </si>
  <si>
    <t>Build booking UI and vendor booking UI</t>
  </si>
  <si>
    <t>Cash-at-court booking can be demonstrated end to end</t>
  </si>
  <si>
    <t>PB-023</t>
  </si>
  <si>
    <t>Payment</t>
  </si>
  <si>
    <t>Implement VNPAY sandbox payment URL generation</t>
  </si>
  <si>
    <t>Sprint 5</t>
  </si>
  <si>
    <t>Booking with VNPAY returns a payment URL</t>
  </si>
  <si>
    <t>PB-024</t>
  </si>
  <si>
    <t>Implement VNPAY return and IPN signature verification</t>
  </si>
  <si>
    <t>Invalid signature does not update payment</t>
  </si>
  <si>
    <t>PB-025</t>
  </si>
  <si>
    <t>Build payment redirect/result frontend</t>
  </si>
  <si>
    <t>User sees clear payment result</t>
  </si>
  <si>
    <t>PB-026</t>
  </si>
  <si>
    <t>Admin</t>
  </si>
  <si>
    <t>Implement admin sports management</t>
  </si>
  <si>
    <t>Sprint 6</t>
  </si>
  <si>
    <t>Admin can create/update/deactivate sports</t>
  </si>
  <si>
    <t>PB-027</t>
  </si>
  <si>
    <t>Implement admin users/vendors management</t>
  </si>
  <si>
    <t>Admin can manage user/vendor status and role</t>
  </si>
  <si>
    <t>PB-028</t>
  </si>
  <si>
    <t>Implement admin venue/court/booking moderation</t>
  </si>
  <si>
    <t>Admin can inspect and moderate platform data</t>
  </si>
  <si>
    <t>PB-029</t>
  </si>
  <si>
    <t>Build admin dashboard pages</t>
  </si>
  <si>
    <t>Admin flow can be demonstrated in UI</t>
  </si>
  <si>
    <t>PB-030</t>
  </si>
  <si>
    <t>Implement Google login</t>
  </si>
  <si>
    <t>Should</t>
  </si>
  <si>
    <t>Sprint 7</t>
  </si>
  <si>
    <t>Verified Google email can log in</t>
  </si>
  <si>
    <t>Clarify same-email local account behavior</t>
  </si>
  <si>
    <t>PB-031</t>
  </si>
  <si>
    <t>UX</t>
  </si>
  <si>
    <t>Improve responsive UI and empty/error states</t>
  </si>
  <si>
    <t>Main pages work on desktop and mobile</t>
  </si>
  <si>
    <t>PB-032</t>
  </si>
  <si>
    <t>Add court filters by sport, venue, date, and keyword</t>
  </si>
  <si>
    <t>Guest can narrow court list</t>
  </si>
  <si>
    <t>PB-033</t>
  </si>
  <si>
    <t>Release</t>
  </si>
  <si>
    <t>Prepare production config and deployment</t>
  </si>
  <si>
    <t>Sprint 8</t>
  </si>
  <si>
    <t>DevOps</t>
  </si>
  <si>
    <t>App deploys without localhost-only values</t>
  </si>
  <si>
    <t>PB-034</t>
  </si>
  <si>
    <t>Create production demo seed data and demo accounts</t>
  </si>
  <si>
    <t>Demo environment has realistic data</t>
  </si>
  <si>
    <t>PB-035</t>
  </si>
  <si>
    <t>Add focused automated tests for risky logic</t>
  </si>
  <si>
    <t>Tester</t>
  </si>
  <si>
    <t>Auth, booking, ownership, image, payment rules are covered</t>
  </si>
  <si>
    <t>PB-036</t>
  </si>
  <si>
    <t>Finalize README, API notes, and smoke test checklist</t>
  </si>
  <si>
    <t>Project is portfolio-ready</t>
  </si>
  <si>
    <t>Start Date</t>
  </si>
  <si>
    <t>End Date</t>
  </si>
  <si>
    <t>Main Scope</t>
  </si>
  <si>
    <t>Demo Scenario</t>
  </si>
  <si>
    <t>Project foundation and production skeleton</t>
  </si>
  <si>
    <t>Backend, frontend, PostgreSQL, migrations, health check, README</t>
  </si>
  <si>
    <t>Backend/frontend run locally and health check works</t>
  </si>
  <si>
    <t>Database core and public browsing</t>
  </si>
  <si>
    <t>Entities, seed data, public sports/venues/courts APIs, public UI</t>
  </si>
  <si>
    <t>Guest browses courts from PostgreSQL data</t>
  </si>
  <si>
    <t>Planned</t>
  </si>
  <si>
    <t>Local auth, JWT, refresh token, and profile</t>
  </si>
  <si>
    <t>Register, verify email, login, refresh, logout, profile, avatar</t>
  </si>
  <si>
    <t>User registers, verifies, logs in, and views profile</t>
  </si>
  <si>
    <t>Vendor setup</t>
  </si>
  <si>
    <t>Vendor venues, courts, images, court time slots</t>
  </si>
  <si>
    <t>Vendor prepares a bookable court</t>
  </si>
  <si>
    <t>Booking and cash payment MVP</t>
  </si>
  <si>
    <t>Available slots, booking, user history, vendor booking, cash payment</t>
  </si>
  <si>
    <t>User books by cash and vendor marks paid</t>
  </si>
  <si>
    <t>VNPAY sandbox payment</t>
  </si>
  <si>
    <t>VNPAY payment URL, return, IPN, payment result UI</t>
  </si>
  <si>
    <t>User pays through VNPAY sandbox</t>
  </si>
  <si>
    <t>Admin dashboard and moderation</t>
  </si>
  <si>
    <t>Sports, users/vendors, venues, courts, bookings admin UI</t>
  </si>
  <si>
    <t>Admin moderates platform data</t>
  </si>
  <si>
    <t>Google login and UX polish</t>
  </si>
  <si>
    <t>Google login, responsive UI, filters, dashboard statistics</t>
  </si>
  <si>
    <t>Google login and polished browsing flow</t>
  </si>
  <si>
    <t>Production hardening and release</t>
  </si>
  <si>
    <t>Prod config, seed demo data, tests, README, deployment</t>
  </si>
  <si>
    <t>Deployed production-like demo</t>
  </si>
  <si>
    <t>Task</t>
  </si>
  <si>
    <t>Type</t>
  </si>
  <si>
    <t>SP</t>
  </si>
  <si>
    <t>Blocker</t>
  </si>
  <si>
    <t>Next Action</t>
  </si>
  <si>
    <t>Backlog ID</t>
  </si>
  <si>
    <t>SB-001</t>
  </si>
  <si>
    <t>Create backend project and package structure</t>
  </si>
  <si>
    <t>Backend</t>
  </si>
  <si>
    <t>Generate Spring Boot project</t>
  </si>
  <si>
    <t>SB-002</t>
  </si>
  <si>
    <t>Create frontend project with Tailwind CSS</t>
  </si>
  <si>
    <t>Frontend</t>
  </si>
  <si>
    <t>Create React app</t>
  </si>
  <si>
    <t>SB-003</t>
  </si>
  <si>
    <t>Configure PostgreSQL and migrations</t>
  </si>
  <si>
    <t>Database</t>
  </si>
  <si>
    <t>Choose Flyway or Liquibase</t>
  </si>
  <si>
    <t>SB-004</t>
  </si>
  <si>
    <t>Add README setup draft</t>
  </si>
  <si>
    <t>Docs</t>
  </si>
  <si>
    <t>Document local run commands</t>
  </si>
  <si>
    <t>SB-005</t>
  </si>
  <si>
    <t>Implement public sports APIs</t>
  </si>
  <si>
    <t>Start after migrations</t>
  </si>
  <si>
    <t>SB-006</t>
  </si>
  <si>
    <t>Implement venue and court list/detail APIs</t>
  </si>
  <si>
    <t>Use DTOs</t>
  </si>
  <si>
    <t>SB-007</t>
  </si>
  <si>
    <t>Build court list and detail pages</t>
  </si>
  <si>
    <t>Connect to Axios client</t>
  </si>
  <si>
    <t>SB-008</t>
  </si>
  <si>
    <t>Implement auth security config</t>
  </si>
  <si>
    <t>Define route permissions</t>
  </si>
  <si>
    <t>SB-009</t>
  </si>
  <si>
    <t>Implement token refresh flow in Axios</t>
  </si>
  <si>
    <t>Add interceptor</t>
  </si>
  <si>
    <t>SB-010</t>
  </si>
  <si>
    <t>Test duplicate booking protection</t>
  </si>
  <si>
    <t>Test</t>
  </si>
  <si>
    <t>Verify same court/date/slot conflict</t>
  </si>
  <si>
    <t>Area</t>
  </si>
  <si>
    <t>Checklist Item</t>
  </si>
  <si>
    <t>Evidence / Link</t>
  </si>
  <si>
    <t>Configuration</t>
  </si>
  <si>
    <t>All secrets are environment variables</t>
  </si>
  <si>
    <t>Not Started</t>
  </si>
  <si>
    <t>JWT, DB, Google, VNPAY, storage</t>
  </si>
  <si>
    <t>Migrations run from clean database</t>
  </si>
  <si>
    <t>No manual table creation</t>
  </si>
  <si>
    <t>Demo seed data exists</t>
  </si>
  <si>
    <t>Admin, vendor, user, sports, venues, courts</t>
  </si>
  <si>
    <t>Security</t>
  </si>
  <si>
    <t>Protected APIs reject missing/invalid token</t>
  </si>
  <si>
    <t>Role-based routes are enforced in backend</t>
  </si>
  <si>
    <t>Vendor ownership checks are verified</t>
  </si>
  <si>
    <t>Refresh token rotation works</t>
  </si>
  <si>
    <t>Duplicate booking is blocked</t>
  </si>
  <si>
    <t>VNPAY invalid signature is rejected</t>
  </si>
  <si>
    <t>Production build succeeds</t>
  </si>
  <si>
    <t>Frontend uses deployed backend URL</t>
  </si>
  <si>
    <t>README has local and production run instructions</t>
  </si>
  <si>
    <t>Smoke test script passes on deployed app</t>
  </si>
  <si>
    <t>Observability</t>
  </si>
  <si>
    <t>Backend logs are useful for demo debugging</t>
  </si>
  <si>
    <t>Risk</t>
  </si>
  <si>
    <t>Impact (1-5)</t>
  </si>
  <si>
    <t>Probability (1-5)</t>
  </si>
  <si>
    <t>Severity</t>
  </si>
  <si>
    <t>Mitigation</t>
  </si>
  <si>
    <t>Review Notes</t>
  </si>
  <si>
    <t>R-001</t>
  </si>
  <si>
    <t>Frontend is built too late, making demo weak</t>
  </si>
  <si>
    <t>Build UI together with each vertical slice</t>
  </si>
  <si>
    <t>Product Owner</t>
  </si>
  <si>
    <t>Open</t>
  </si>
  <si>
    <t>R-002</t>
  </si>
  <si>
    <t>VNPAY takes longer than expected</t>
  </si>
  <si>
    <t>Finish CASH_AT_COURT booking before VNPAY</t>
  </si>
  <si>
    <t>R-003</t>
  </si>
  <si>
    <t>Auth scope becomes too complex</t>
  </si>
  <si>
    <t>Finish local auth first, then Google login</t>
  </si>
  <si>
    <t>R-004</t>
  </si>
  <si>
    <t>Image storage complicates deployment</t>
  </si>
  <si>
    <t>Use storage abstraction and start simple</t>
  </si>
  <si>
    <t>R-005</t>
  </si>
  <si>
    <t>No migration strategy causes deployment issues</t>
  </si>
  <si>
    <t>Use Flyway or Liquibase from Sprint 0</t>
  </si>
  <si>
    <t>R-006</t>
  </si>
  <si>
    <t>Weak seed data makes demo look empty</t>
  </si>
  <si>
    <t>Prepare realistic demo venues, courts, slots, bookings</t>
  </si>
  <si>
    <t>R-007</t>
  </si>
  <si>
    <t>Missing ownership checks exposes vendor data</t>
  </si>
  <si>
    <t>Put checks in service layer and test them</t>
  </si>
  <si>
    <t>Flow</t>
  </si>
  <si>
    <t>Actor</t>
  </si>
  <si>
    <t>Steps</t>
  </si>
  <si>
    <t>Expected Result</t>
  </si>
  <si>
    <t>Public browsing</t>
  </si>
  <si>
    <t>Open app &gt; view sports &gt; open court list &gt; open court detail</t>
  </si>
  <si>
    <t>Guest sees real court data and primary images</t>
  </si>
  <si>
    <t>Local auth</t>
  </si>
  <si>
    <t>Register &gt; verify email &gt; login &gt; open profile &gt; logout</t>
  </si>
  <si>
    <t>User receives tokens and protected profile loads</t>
  </si>
  <si>
    <t>Vendor court setup</t>
  </si>
  <si>
    <t>Login as vendor &gt; create venue &gt; create court &gt; upload image &gt; enable slots</t>
  </si>
  <si>
    <t>Court becomes bookable</t>
  </si>
  <si>
    <t>Cash booking</t>
  </si>
  <si>
    <t>USER/VENDOR</t>
  </si>
  <si>
    <t>User books CASH_AT_COURT &gt; vendor confirms &gt; vendor marks cash paid</t>
  </si>
  <si>
    <t>Booking and payment statuses update correctly</t>
  </si>
  <si>
    <t>VNPAY payment</t>
  </si>
  <si>
    <t>User books with VNPAY &gt; completes sandbox payment &gt; returns to app</t>
  </si>
  <si>
    <t>Payment status becomes PAID</t>
  </si>
  <si>
    <t>Admin moderation</t>
  </si>
  <si>
    <t>Login as admin &gt; manage sport &gt; inspect users &gt; moderate court/booking</t>
  </si>
  <si>
    <t>Admin can manage platform data</t>
  </si>
  <si>
    <t>Production smoke test</t>
  </si>
  <si>
    <t>All</t>
  </si>
  <si>
    <t>Run core flow on deployed URL</t>
  </si>
  <si>
    <t>Demo environment works without localhost assumptions</t>
  </si>
  <si>
    <t>Sprint Status</t>
  </si>
  <si>
    <t>Release Status</t>
  </si>
  <si>
    <t>Risk Status</t>
  </si>
  <si>
    <t>Monitoring</t>
  </si>
  <si>
    <t>Could</t>
  </si>
  <si>
    <t>Mitigated</t>
  </si>
  <si>
    <t>Won't</t>
  </si>
  <si>
    <t>Designer</t>
  </si>
  <si>
    <t>Closed</t>
  </si>
  <si>
    <t>At Risk</t>
  </si>
  <si>
    <t>Deferred</t>
  </si>
  <si>
    <t>Accepted</t>
  </si>
  <si>
    <t>Deployment</t>
  </si>
  <si>
    <t>Moved</t>
  </si>
  <si>
    <t>N/A</t>
  </si>
  <si>
    <t>SB-011</t>
  </si>
  <si>
    <t>Define backend package structure by module</t>
  </si>
  <si>
    <t>Create packages for auth, user, sport, venue, court, booking, payment, common</t>
  </si>
  <si>
    <t>SB-012</t>
  </si>
  <si>
    <t>Add health check controller</t>
  </si>
  <si>
    <t>Implement GET /api/health</t>
  </si>
  <si>
    <t>SB-013</t>
  </si>
  <si>
    <t>Configure backend application profiles</t>
  </si>
  <si>
    <t>Create local and production-ready config structure</t>
  </si>
  <si>
    <t>SB-014</t>
  </si>
  <si>
    <t>Configure React router and base layout</t>
  </si>
  <si>
    <t>Create route skeleton and default layout</t>
  </si>
  <si>
    <t>SB-015</t>
  </si>
  <si>
    <t>Configure Tailwind base theme</t>
  </si>
  <si>
    <t>Set global styles and reusable layout classes</t>
  </si>
  <si>
    <t>SB-016</t>
  </si>
  <si>
    <t>Create Axios API client skeleton</t>
  </si>
  <si>
    <t>Add baseURL from environment variable</t>
  </si>
  <si>
    <t>SB-017</t>
  </si>
  <si>
    <t>Choose and configure migration tool</t>
  </si>
  <si>
    <t>Add Flyway or Liquibase dependency and config</t>
  </si>
  <si>
    <t>SB-018</t>
  </si>
  <si>
    <t>Create initial database connection config</t>
  </si>
  <si>
    <t>Use env variables for DB URL, username and password</t>
  </si>
  <si>
    <t>SB-019</t>
  </si>
  <si>
    <t>Verify clean database startup</t>
  </si>
  <si>
    <t>Run backend against empty PostgreSQL database</t>
  </si>
  <si>
    <t>SB-020</t>
  </si>
  <si>
    <t>Document local prerequisites</t>
  </si>
  <si>
    <t>Add Java, Node, PostgreSQL requirements to README</t>
  </si>
  <si>
    <t>SB-021</t>
  </si>
  <si>
    <t>Document local backend and frontend run commands</t>
  </si>
  <si>
    <t>Add commands for backend, frontend and database</t>
  </si>
  <si>
    <t>SB-022</t>
  </si>
  <si>
    <t>Create environment example files</t>
  </si>
  <si>
    <t>Add backend and frontend env examples without secrets</t>
  </si>
  <si>
    <t>SB-023</t>
  </si>
  <si>
    <t>Create role and user entities</t>
  </si>
  <si>
    <t>Implement mappings for roles and users</t>
  </si>
  <si>
    <t>SB-024</t>
  </si>
  <si>
    <t>Create sport, venue and court entities</t>
  </si>
  <si>
    <t>Implement mappings and relationships from docs 04</t>
  </si>
  <si>
    <t>SB-025</t>
  </si>
  <si>
    <t>Create image and time slot entities</t>
  </si>
  <si>
    <t>Implement venue_images, court_images, time_slots, court_time_slots</t>
  </si>
  <si>
    <t>SB-026</t>
  </si>
  <si>
    <t>Create repositories for core entities</t>
  </si>
  <si>
    <t>Add repository interfaces for public browsing entities</t>
  </si>
  <si>
    <t>SB-027</t>
  </si>
  <si>
    <t>Seed roles and default sports</t>
  </si>
  <si>
    <t>Seed USER, VENDOR, ADMIN and initial sports</t>
  </si>
  <si>
    <t>SB-028</t>
  </si>
  <si>
    <t>Seed global time slots</t>
  </si>
  <si>
    <t>Add bookable time slot templates</t>
  </si>
  <si>
    <t>SB-029</t>
  </si>
  <si>
    <t>Seed demo vendor, venues and courts</t>
  </si>
  <si>
    <t>Add realistic data for public browsing demo</t>
  </si>
  <si>
    <t>SB-030</t>
  </si>
  <si>
    <t>Create sport response DTOs and service</t>
  </si>
  <si>
    <t>Return only necessary sport fields</t>
  </si>
  <si>
    <t>SB-031</t>
  </si>
  <si>
    <t>Create venue list/detail DTOs and service</t>
  </si>
  <si>
    <t>Include primaryImageUrl in detail response</t>
  </si>
  <si>
    <t>SB-032</t>
  </si>
  <si>
    <t>Create court list/detail DTOs and service</t>
  </si>
  <si>
    <t>Include sport, venue and primaryImageUrl</t>
  </si>
  <si>
    <t>SB-033</t>
  </si>
  <si>
    <t>Add public gallery APIs</t>
  </si>
  <si>
    <t>Implement venue and court image list APIs</t>
  </si>
  <si>
    <t>SB-034</t>
  </si>
  <si>
    <t>Create public home/discovery page</t>
  </si>
  <si>
    <t>Show featured sports or courts from API</t>
  </si>
  <si>
    <t>SB-035</t>
  </si>
  <si>
    <t>Create court list page</t>
  </si>
  <si>
    <t>Render courts from GET /courts</t>
  </si>
  <si>
    <t>SB-036</t>
  </si>
  <si>
    <t>Create court detail page</t>
  </si>
  <si>
    <t>Render court detail and image gallery link</t>
  </si>
  <si>
    <t>SB-037</t>
  </si>
  <si>
    <t>Handle public browsing loading and error states</t>
  </si>
  <si>
    <t>Show loading, empty and error UI</t>
  </si>
  <si>
    <t>SB-038</t>
  </si>
  <si>
    <t>Create email verification token entity and repository</t>
  </si>
  <si>
    <t>Map email_verification_tokens table</t>
  </si>
  <si>
    <t>SB-039</t>
  </si>
  <si>
    <t>Implement register local account API</t>
  </si>
  <si>
    <t>Create USER with PENDING_VERIFICATION</t>
  </si>
  <si>
    <t>SB-040</t>
  </si>
  <si>
    <t>Implement verify email API</t>
  </si>
  <si>
    <t>Activate account when valid token is used</t>
  </si>
  <si>
    <t>SB-041</t>
  </si>
  <si>
    <t>Implement resend verification API</t>
  </si>
  <si>
    <t>Generate new token when account is not verified</t>
  </si>
  <si>
    <t>SB-042</t>
  </si>
  <si>
    <t>Create refresh token entity and repository</t>
  </si>
  <si>
    <t>Store refresh token hash only</t>
  </si>
  <si>
    <t>SB-043</t>
  </si>
  <si>
    <t>Implement JWT access token service</t>
  </si>
  <si>
    <t>Generate and validate access tokens</t>
  </si>
  <si>
    <t>SB-044</t>
  </si>
  <si>
    <t>Implement login API with email or phone</t>
  </si>
  <si>
    <t>Block unverified local accounts</t>
  </si>
  <si>
    <t>SB-045</t>
  </si>
  <si>
    <t>Implement refresh token rotation</t>
  </si>
  <si>
    <t>Revoke old refresh token and issue new token</t>
  </si>
  <si>
    <t>SB-046</t>
  </si>
  <si>
    <t>Implement logout API</t>
  </si>
  <si>
    <t>Revoke submitted refresh token</t>
  </si>
  <si>
    <t>SB-047</t>
  </si>
  <si>
    <t>Build register page</t>
  </si>
  <si>
    <t>Call POST /auth/register and show verification message</t>
  </si>
  <si>
    <t>SB-048</t>
  </si>
  <si>
    <t>Build login page</t>
  </si>
  <si>
    <t>Support email/phone identifier</t>
  </si>
  <si>
    <t>SB-049</t>
  </si>
  <si>
    <t>Implement auth context and protected routes</t>
  </si>
  <si>
    <t>Protect user, vendor and admin routes</t>
  </si>
  <si>
    <t>SB-050</t>
  </si>
  <si>
    <t>Build profile page</t>
  </si>
  <si>
    <t>Render GET /auth/me data</t>
  </si>
  <si>
    <t>SB-051</t>
  </si>
  <si>
    <t>Create image storage service interface</t>
  </si>
  <si>
    <t>Support local dev and future object storage</t>
  </si>
  <si>
    <t>SB-052</t>
  </si>
  <si>
    <t>Implement avatar upload validation</t>
  </si>
  <si>
    <t>Validate file type and size</t>
  </si>
  <si>
    <t>SB-053</t>
  </si>
  <si>
    <t>Connect avatar upload UI</t>
  </si>
  <si>
    <t>Upload file and refresh profile avatar</t>
  </si>
  <si>
    <t>SB-054</t>
  </si>
  <si>
    <t>Implement vendor venue create/update APIs</t>
  </si>
  <si>
    <t>Validate request and vendor ownership</t>
  </si>
  <si>
    <t>SB-055</t>
  </si>
  <si>
    <t>Implement vendor venue list/detail APIs</t>
  </si>
  <si>
    <t>Return only venues owned by current vendor</t>
  </si>
  <si>
    <t>SB-056</t>
  </si>
  <si>
    <t>Implement vendor venue deactivate API</t>
  </si>
  <si>
    <t>Prefer status change over hard delete</t>
  </si>
  <si>
    <t>SB-057</t>
  </si>
  <si>
    <t>Implement vendor court create/update APIs</t>
  </si>
  <si>
    <t>Allow court only under owned venue</t>
  </si>
  <si>
    <t>SB-058</t>
  </si>
  <si>
    <t>Implement vendor court list/detail APIs</t>
  </si>
  <si>
    <t>Return courts under vendor venues only</t>
  </si>
  <si>
    <t>SB-059</t>
  </si>
  <si>
    <t>Implement vendor court deactivate API</t>
  </si>
  <si>
    <t>Protect existing booking history</t>
  </si>
  <si>
    <t>SB-060</t>
  </si>
  <si>
    <t>Implement venue image upload API</t>
  </si>
  <si>
    <t>Apply sortOrder and primary image rules</t>
  </si>
  <si>
    <t>SB-061</t>
  </si>
  <si>
    <t>Implement court image upload API</t>
  </si>
  <si>
    <t>SB-062</t>
  </si>
  <si>
    <t>Implement image delete and set primary APIs</t>
  </si>
  <si>
    <t>Ensure only one primary image per venue/court</t>
  </si>
  <si>
    <t>SB-063</t>
  </si>
  <si>
    <t>Test image ordering transaction</t>
  </si>
  <si>
    <t>Verify insert at sortOrder shifts later images</t>
  </si>
  <si>
    <t>SB-064</t>
  </si>
  <si>
    <t>Implement global time slot list for vendor/admin</t>
  </si>
  <si>
    <t>Return active time slot templates</t>
  </si>
  <si>
    <t>SB-065</t>
  </si>
  <si>
    <t>Implement get own court time slots API</t>
  </si>
  <si>
    <t>Vendor can view enabled slots for own court</t>
  </si>
  <si>
    <t>SB-066</t>
  </si>
  <si>
    <t>Implement update own court time slots API</t>
  </si>
  <si>
    <t>Update court_time_slots transactionally</t>
  </si>
  <si>
    <t>SB-067</t>
  </si>
  <si>
    <t>Build vendor venue management UI</t>
  </si>
  <si>
    <t>List, create, edit and deactivate venues</t>
  </si>
  <si>
    <t>SB-068</t>
  </si>
  <si>
    <t>Build vendor court management UI</t>
  </si>
  <si>
    <t>List, create, edit and deactivate courts</t>
  </si>
  <si>
    <t>SB-069</t>
  </si>
  <si>
    <t>Build vendor image gallery UI</t>
  </si>
  <si>
    <t>Upload, delete and set primary images</t>
  </si>
  <si>
    <t>SB-070</t>
  </si>
  <si>
    <t>Build court time slot configuration UI</t>
  </si>
  <si>
    <t>Enable and disable slots for court</t>
  </si>
  <si>
    <t>SB-071</t>
  </si>
  <si>
    <t>Implement available slot query service</t>
  </si>
  <si>
    <t>Calculate active and unbooked slots by date</t>
  </si>
  <si>
    <t>SB-072</t>
  </si>
  <si>
    <t>Add available slot API endpoint</t>
  </si>
  <si>
    <t>Implement GET /courts/{id}/available-slots</t>
  </si>
  <si>
    <t>SB-073</t>
  </si>
  <si>
    <t>Test available slots with booked and disabled slots</t>
  </si>
  <si>
    <t>Verify unavailable slots are excluded</t>
  </si>
  <si>
    <t>SB-074</t>
  </si>
  <si>
    <t>Create booking and payment entities</t>
  </si>
  <si>
    <t>Map bookings and payments tables</t>
  </si>
  <si>
    <t>SB-075</t>
  </si>
  <si>
    <t>Implement booking creation transaction</t>
  </si>
  <si>
    <t>Create booking and payment atomically</t>
  </si>
  <si>
    <t>SB-076</t>
  </si>
  <si>
    <t>Validate booking date and active court slot</t>
  </si>
  <si>
    <t>Reject past date and disabled slot</t>
  </si>
  <si>
    <t>SB-077</t>
  </si>
  <si>
    <t>Add database-level duplicate booking protection</t>
  </si>
  <si>
    <t>Prevent duplicate active booking for court/date/slot</t>
  </si>
  <si>
    <t>SB-078</t>
  </si>
  <si>
    <t>Implement my bookings API</t>
  </si>
  <si>
    <t>Return current user's bookings with payment summary</t>
  </si>
  <si>
    <t>SB-079</t>
  </si>
  <si>
    <t>Implement booking detail permission rules</t>
  </si>
  <si>
    <t>User, vendor and admin access only valid bookings</t>
  </si>
  <si>
    <t>SB-080</t>
  </si>
  <si>
    <t>Implement user booking cancellation</t>
  </si>
  <si>
    <t>Cancel valid future booking and update refund status if needed</t>
  </si>
  <si>
    <t>SB-081</t>
  </si>
  <si>
    <t>Implement vendor booking list filters</t>
  </si>
  <si>
    <t>Filter by date, court and status</t>
  </si>
  <si>
    <t>SB-082</t>
  </si>
  <si>
    <t>Implement vendor confirm/reject/cancel booking APIs</t>
  </si>
  <si>
    <t>Vendor can manage bookings for own courts only</t>
  </si>
  <si>
    <t>SB-083</t>
  </si>
  <si>
    <t>Implement mark cash payment as paid API</t>
  </si>
  <si>
    <t>Only allow CASH_AT_COURT bookings</t>
  </si>
  <si>
    <t>SB-084</t>
  </si>
  <si>
    <t>Build available slot picker UI</t>
  </si>
  <si>
    <t>User selects date and available slot</t>
  </si>
  <si>
    <t>SB-085</t>
  </si>
  <si>
    <t>Build booking creation UI</t>
  </si>
  <si>
    <t>Submit booking with payment method</t>
  </si>
  <si>
    <t>SB-086</t>
  </si>
  <si>
    <t>Build booking history and detail UI</t>
  </si>
  <si>
    <t>User views booking history and detail</t>
  </si>
  <si>
    <t>SB-087</t>
  </si>
  <si>
    <t>Build vendor booking management UI</t>
  </si>
  <si>
    <t>Vendor confirms and marks cash paid</t>
  </si>
  <si>
    <t>SB-088</t>
  </si>
  <si>
    <t>Add VNPAY configuration properties</t>
  </si>
  <si>
    <t>Load VNPAY config from environment variables</t>
  </si>
  <si>
    <t>SB-089</t>
  </si>
  <si>
    <t>Implement VNPAY payment URL builder</t>
  </si>
  <si>
    <t>Generate signed sandbox payment URL</t>
  </si>
  <si>
    <t>SB-090</t>
  </si>
  <si>
    <t>Connect booking creation to VNPAY payment URL</t>
  </si>
  <si>
    <t>Return paymentUrl for VNPAY bookings</t>
  </si>
  <si>
    <t>SB-091</t>
  </si>
  <si>
    <t>Implement VNPAY return endpoint</t>
  </si>
  <si>
    <t>Verify return params and show result data</t>
  </si>
  <si>
    <t>SB-092</t>
  </si>
  <si>
    <t>Implement VNPAY IPN endpoint</t>
  </si>
  <si>
    <t>Verify signature before updating payment</t>
  </si>
  <si>
    <t>SB-093</t>
  </si>
  <si>
    <t>Make VNPAY callback idempotent</t>
  </si>
  <si>
    <t>Repeated callback should not corrupt payment status</t>
  </si>
  <si>
    <t>SB-094</t>
  </si>
  <si>
    <t>Test invalid VNPAY signature</t>
  </si>
  <si>
    <t>Invalid signature must not mark payment as paid</t>
  </si>
  <si>
    <t>SB-095</t>
  </si>
  <si>
    <t>Build payment redirect handling</t>
  </si>
  <si>
    <t>Redirect user to returned paymentUrl</t>
  </si>
  <si>
    <t>SB-096</t>
  </si>
  <si>
    <t>Build payment result page</t>
  </si>
  <si>
    <t>Show success, failed and pending result states</t>
  </si>
  <si>
    <t>SB-097</t>
  </si>
  <si>
    <t>Implement admin sport create/update APIs</t>
  </si>
  <si>
    <t>Admin can create and update sports</t>
  </si>
  <si>
    <t>SB-098</t>
  </si>
  <si>
    <t>Implement admin sport deactivate API</t>
  </si>
  <si>
    <t>Deactivate sport instead of hard delete</t>
  </si>
  <si>
    <t>SB-099</t>
  </si>
  <si>
    <t>Build admin sports management UI</t>
  </si>
  <si>
    <t>Admin can manage sports from UI</t>
  </si>
  <si>
    <t>SB-100</t>
  </si>
  <si>
    <t>Implement admin users/vendors list API</t>
  </si>
  <si>
    <t>Support pagination and filters</t>
  </si>
  <si>
    <t>SB-101</t>
  </si>
  <si>
    <t>Implement admin user role/status update API</t>
  </si>
  <si>
    <t>Admin can update role and account status</t>
  </si>
  <si>
    <t>SB-102</t>
  </si>
  <si>
    <t>Build admin users/vendors UI</t>
  </si>
  <si>
    <t>Admin can inspect and update accounts</t>
  </si>
  <si>
    <t>SB-103</t>
  </si>
  <si>
    <t>Implement admin venues moderation APIs</t>
  </si>
  <si>
    <t>Admin can view and moderate venues</t>
  </si>
  <si>
    <t>SB-104</t>
  </si>
  <si>
    <t>Implement admin courts moderation APIs</t>
  </si>
  <si>
    <t>Admin can view and moderate courts</t>
  </si>
  <si>
    <t>SB-105</t>
  </si>
  <si>
    <t>Implement admin bookings moderation APIs</t>
  </si>
  <si>
    <t>Admin can view and moderate bookings</t>
  </si>
  <si>
    <t>SB-106</t>
  </si>
  <si>
    <t>Build admin dashboard summary</t>
  </si>
  <si>
    <t>Show basic platform summary cards</t>
  </si>
  <si>
    <t>SB-107</t>
  </si>
  <si>
    <t>Build admin venue/court moderation UI</t>
  </si>
  <si>
    <t>Admin can inspect and moderate venues/courts</t>
  </si>
  <si>
    <t>SB-108</t>
  </si>
  <si>
    <t>Build admin booking moderation UI</t>
  </si>
  <si>
    <t>Admin can inspect platform bookings</t>
  </si>
  <si>
    <t>SB-109</t>
  </si>
  <si>
    <t>Configure Google OAuth client</t>
  </si>
  <si>
    <t>Load Google client ID from environment</t>
  </si>
  <si>
    <t>SB-110</t>
  </si>
  <si>
    <t>Implement Google ID token verification</t>
  </si>
  <si>
    <t>Accept only verified Google emails</t>
  </si>
  <si>
    <t>SB-111</t>
  </si>
  <si>
    <t>Implement Google account matching behavior</t>
  </si>
  <si>
    <t>Handle new email and existing local email cases</t>
  </si>
  <si>
    <t>SB-112</t>
  </si>
  <si>
    <t>Build Google login button flow</t>
  </si>
  <si>
    <t>Submit Google ID token to backend</t>
  </si>
  <si>
    <t>SB-113</t>
  </si>
  <si>
    <t>Review responsive layout on mobile</t>
  </si>
  <si>
    <t>Check public, auth, booking, vendor and admin pages</t>
  </si>
  <si>
    <t>SB-114</t>
  </si>
  <si>
    <t>Add reusable loading, empty and error components</t>
  </si>
  <si>
    <t>Use consistent states across pages</t>
  </si>
  <si>
    <t>SB-115</t>
  </si>
  <si>
    <t>Polish navigation by role</t>
  </si>
  <si>
    <t>Show relevant menu for guest/user/vendor/admin</t>
  </si>
  <si>
    <t>SB-116</t>
  </si>
  <si>
    <t>Add sport and venue filters to court list API</t>
  </si>
  <si>
    <t>Support query params for sportId and venueId</t>
  </si>
  <si>
    <t>SB-117</t>
  </si>
  <si>
    <t>Add keyword and date filter support</t>
  </si>
  <si>
    <t>Support keyword search and date-aware slot filtering if feasible</t>
  </si>
  <si>
    <t>SB-118</t>
  </si>
  <si>
    <t>Build court filter UI</t>
  </si>
  <si>
    <t>Allow user to filter by sport, venue, date and keyword</t>
  </si>
  <si>
    <t>SB-119</t>
  </si>
  <si>
    <t>Create production backend profile</t>
  </si>
  <si>
    <t>Separate local and production settings</t>
  </si>
  <si>
    <t>SB-120</t>
  </si>
  <si>
    <t>Configure production frontend API URL</t>
  </si>
  <si>
    <t>Use environment variable instead of localhost</t>
  </si>
  <si>
    <t>SB-121</t>
  </si>
  <si>
    <t>Prepare backend deployment steps</t>
  </si>
  <si>
    <t>Document build and start command</t>
  </si>
  <si>
    <t>SB-122</t>
  </si>
  <si>
    <t>Prepare frontend deployment steps</t>
  </si>
  <si>
    <t>Document production build and static hosting</t>
  </si>
  <si>
    <t>SB-123</t>
  </si>
  <si>
    <t>Create demo admin, vendor and user accounts</t>
  </si>
  <si>
    <t>Seed safe demo accounts</t>
  </si>
  <si>
    <t>SB-124</t>
  </si>
  <si>
    <t>Create realistic demo venues and courts</t>
  </si>
  <si>
    <t>Seed enough data for public browsing demo</t>
  </si>
  <si>
    <t>SB-125</t>
  </si>
  <si>
    <t>Create demo bookings and payments if safe</t>
  </si>
  <si>
    <t>Prepare useful dashboard and history data</t>
  </si>
  <si>
    <t>SB-126</t>
  </si>
  <si>
    <t>Add auth service tests</t>
  </si>
  <si>
    <t>Cover login, verification and refresh rotation</t>
  </si>
  <si>
    <t>SB-127</t>
  </si>
  <si>
    <t>Add booking conflict tests</t>
  </si>
  <si>
    <t>Cover duplicate booking and disabled slot</t>
  </si>
  <si>
    <t>SB-128</t>
  </si>
  <si>
    <t>Add vendor ownership tests</t>
  </si>
  <si>
    <t>Vendor cannot access other vendor data</t>
  </si>
  <si>
    <t>SB-129</t>
  </si>
  <si>
    <t>Add image ordering tests</t>
  </si>
  <si>
    <t>Validate sortOrder shift and primary image rule</t>
  </si>
  <si>
    <t>SB-130</t>
  </si>
  <si>
    <t>Add payment callback tests</t>
  </si>
  <si>
    <t>Validate signature and idempotency behavior</t>
  </si>
  <si>
    <t>SB-131</t>
  </si>
  <si>
    <t>Finalize README local setup section</t>
  </si>
  <si>
    <t>Document local backend, frontend and database setup</t>
  </si>
  <si>
    <t>SB-132</t>
  </si>
  <si>
    <t>Finalize README production deployment section</t>
  </si>
  <si>
    <t>Document environment variables and deployment steps</t>
  </si>
  <si>
    <t>SB-133</t>
  </si>
  <si>
    <t>Create API testing or Postman notes</t>
  </si>
  <si>
    <t>Document how to test core APIs</t>
  </si>
  <si>
    <t>SB-134</t>
  </si>
  <si>
    <t>Create production smoke test checklist</t>
  </si>
  <si>
    <t>Document browse, login, booking, vendor and admin checks</t>
  </si>
  <si>
    <t>Link</t>
  </si>
  <si>
    <t>Pull Request #2</t>
  </si>
  <si>
    <t>https://github.com/dqhieuse/sport_booking_webapp/commit/01c38b7f05e22696d4da7daecdea6255d82aa7ef</t>
  </si>
  <si>
    <t>https://github.com/dqhieuse/sport_booking_webapp/commit/1dc61b5806dd82d6278b16a77a670b1f2fafabaf</t>
  </si>
  <si>
    <t>https://github.com/dqhieuse/sport_booking_webapp/commit/68c7c7265f0f6bc84cbeba6ad132d0d5319c64a5</t>
  </si>
  <si>
    <t>https://github.com/dqhieuse/sport_booking_webapp/commit/e7f1cb3884c70e2631e7a305d47345e81d2386d5</t>
  </si>
  <si>
    <t>https://github.com/dqhieuse/sport_booking_webapp/commit/9ea6710c55bd5d75ce992ff74a9f8bc98e625ef7</t>
  </si>
  <si>
    <t>https://github.com/dqhieuse/sport_booking_webapp/commit/ee452ebe7b0fe9bfb4b1f96c2503a23e0b9919da</t>
  </si>
  <si>
    <t>https://github.com/dqhieuse/sport_booking_webapp/pull/3</t>
  </si>
  <si>
    <t>https://github.com/dqhieuse/sport_booking_webapp/commit/a818783bc763e7894935b42c8907eccd84469495</t>
  </si>
  <si>
    <t>https://github.com/dqhieuse/sport_booking_webapp/commit/0d1e65b2fe457df87125e1bd07cff1118089506a</t>
  </si>
  <si>
    <t>https://github.com/dqhieuse/sport_booking_webapp/commit/60c9e93ddd889fcf46afe0d050f85426039e38dd</t>
  </si>
  <si>
    <t>https://github.com/dqhieuse/sport_booking_webapp/commit/ccc1d90b863917fa4444e3b3ed4a854c616c2da7</t>
  </si>
  <si>
    <t>https://github.com/dqhieuse/sport_booking_webapp/commit/7c28081b592376b5f114320c4b2b97ab7aaafcf5</t>
  </si>
  <si>
    <t>https://github.com/dqhieuse/sport_booking_webapp/commit/e970e163b1498ea48bb2a978c79ec2acc64e7493</t>
  </si>
  <si>
    <t>Members</t>
  </si>
  <si>
    <t>Dương Quốc Hiếu</t>
  </si>
  <si>
    <t>Assignee</t>
  </si>
  <si>
    <t>Note</t>
  </si>
  <si>
    <t>SB-030 covered by SB-005 commit</t>
  </si>
  <si>
    <t>SB-031, SB-032 covered by SB-006 commit</t>
  </si>
  <si>
    <t>https://github.com/dqhieuse/sport_booking_webapp/commit/505a5b2f4106a5681a9ae6920cd5f6778a43d28d</t>
  </si>
  <si>
    <t>https://github.com/dqhieuse/sport_booking_webapp/commit/6517f94dc54d956f2018cd3c7d5b40d10c88a7b4</t>
  </si>
  <si>
    <t>https://github.com/dqhieuse/sport_booking_webapp/commit/e94d389dd5612f0c5334dca9f1a32a2ebfc7b484</t>
  </si>
  <si>
    <t>https://github.com/dqhieuse/sport_booking_webapp/commit/8450c708a287d7cceee8b9bbb48f2c7408861838</t>
  </si>
  <si>
    <t>https://github.com/dqhieuse/sport_booking_webapp/commit/e56525bdc2a817c2e3725ffb2161949b3d2e3bd0</t>
  </si>
  <si>
    <t>https://github.com/dqhieuse/sport_booking_webapp/commit/f3874dedaafd79fa41468d446b09b3fcd230fcd8</t>
  </si>
  <si>
    <t>https://github.com/dqhieuse/sport_booking_webapp/commit/8bfc111035aaeb6c025965253ca1464c2e08cf13</t>
  </si>
  <si>
    <t>https://github.com/dqhieuse/sport_booking_webapp/commit/7bc4b76e12b9605a57605e02dad7bdf814952e71</t>
  </si>
  <si>
    <t>https://github.com/dqhieuse/sport_booking_webapp/commit/112c524ea170bd378a723c8489e3022b4ac2505a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</si>
</sst>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>
    <font>
      <sz val="11"/>
      <name val="Carlito"/>
    </font>
    <font>
      <sz val="10"/>
      <color rgb="FF1F2937"/>
      <name val="Calibri"/>
      <family val="2"/>
    </font>
    <font>
      <sz val="11"/>
      <name val="Aptos"/>
    </font>
    <font>
      <b/>
      <sz val="10"/>
      <color theme="3" tint="0.89992980742820516"/>
      <name val="Aptos"/>
    </font>
    <font>
      <b/>
      <sz val="10"/>
      <color rgb="FF1F2937"/>
      <name val="Aptos"/>
    </font>
    <font>
      <sz val="10"/>
      <color rgb="FF1F2937"/>
      <name val="Aptos"/>
    </font>
    <font>
      <sz val="11"/>
      <color theme="3" tint="0.89992980742820516"/>
      <name val="Carlito"/>
    </font>
    <font>
      <sz val="10"/>
      <color theme="3" tint="0.89992980742820516"/>
      <name val="Aptos"/>
    </font>
    <font>
      <sz val="11"/>
      <color theme="3" tint="0.89992980742820516"/>
      <name val="Aptos"/>
    </font>
    <font>
      <b/>
      <sz val="16"/>
      <color theme="3" tint="0.89992980742820516"/>
      <name val="Aptos"/>
    </font>
    <font>
      <b/>
      <sz val="11"/>
      <color theme="3" tint="0.89996032593768116"/>
      <name val="Aptos"/>
    </font>
    <font>
      <u/>
      <sz val="11"/>
      <color theme="10"/>
      <name val="Carlito"/>
    </font>
    <font>
      <u/>
      <sz val="10"/>
      <color theme="10"/>
      <name val="Carlito"/>
    </font>
    <font>
      <b/>
      <sz val="14"/>
      <color rgb="FFFFFFFF"/>
      <name val="Aptos"/>
    </font>
    <font>
      <b/>
      <sz val="11"/>
      <color rgb="FF1F2937"/>
      <name val="Aptos"/>
    </font>
  </fonts>
  <fills count="10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1F4E79"/>
      </patternFill>
    </fill>
  </fills>
  <borders count="8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top" wrapText="1"/>
    </xf>
    <xf numFmtId="0" fontId="2" fillId="6" borderId="0" xfId="0" applyFont="1" applyFill="1"/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5" fillId="4" borderId="2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5" fillId="4" borderId="4" xfId="0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0" fontId="5" fillId="4" borderId="6" xfId="0" applyFont="1" applyFill="1" applyBorder="1" applyAlignment="1">
      <alignment vertical="top" wrapText="1"/>
    </xf>
    <xf numFmtId="0" fontId="5" fillId="4" borderId="7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5" fillId="5" borderId="4" xfId="0" applyFont="1" applyFill="1" applyBorder="1" applyAlignment="1">
      <alignment vertical="top" wrapText="1"/>
    </xf>
    <xf numFmtId="0" fontId="5" fillId="5" borderId="5" xfId="0" applyFont="1" applyFill="1" applyBorder="1" applyAlignment="1">
      <alignment vertical="top" wrapText="1"/>
    </xf>
    <xf numFmtId="0" fontId="5" fillId="5" borderId="6" xfId="0" applyFont="1" applyFill="1" applyBorder="1" applyAlignment="1">
      <alignment vertical="top" wrapText="1"/>
    </xf>
    <xf numFmtId="0" fontId="5" fillId="5" borderId="7" xfId="0" applyFont="1" applyFill="1" applyBorder="1" applyAlignment="1">
      <alignment vertical="top" wrapText="1"/>
    </xf>
    <xf numFmtId="0" fontId="6" fillId="0" borderId="0" xfId="0" applyFont="1"/>
    <xf numFmtId="164" fontId="5" fillId="0" borderId="1" xfId="0" applyNumberFormat="1" applyFont="1" applyBorder="1" applyAlignment="1">
      <alignment vertical="top" wrapText="1"/>
    </xf>
    <xf numFmtId="164" fontId="5" fillId="0" borderId="0" xfId="0" applyNumberFormat="1" applyFont="1"/>
    <xf numFmtId="0" fontId="7" fillId="0" borderId="0" xfId="0" applyFont="1"/>
    <xf numFmtId="0" fontId="8" fillId="0" borderId="0" xfId="0" applyFont="1"/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1" xfId="0" applyFont="1" applyFill="1" applyBorder="1" applyAlignment="1">
      <alignment vertical="top" wrapText="1"/>
    </xf>
    <xf numFmtId="0" fontId="9" fillId="3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12" fillId="0" borderId="0" xfId="1" applyFont="1" applyAlignment="1">
      <alignment vertical="top"/>
    </xf>
    <xf numFmtId="0" fontId="12" fillId="0" borderId="0" xfId="1" applyFont="1"/>
    <xf numFmtId="0" fontId="13" fillId="8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5" fillId="0" borderId="0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12">
    <dxf>
      <fill>
        <patternFill>
          <bgColor theme="2"/>
        </patternFill>
      </fill>
    </dxf>
    <dxf>
      <font>
        <color rgb="FF7030A0"/>
      </font>
      <fill>
        <patternFill>
          <bgColor rgb="FFEAE8FF"/>
        </patternFill>
      </fill>
    </dxf>
    <dxf>
      <font>
        <color theme="3" tint="9.9948118533890809E-2"/>
      </font>
      <fill>
        <patternFill>
          <bgColor theme="3" tint="0.8999603259376811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/>
        </patternFill>
      </fill>
    </dxf>
    <dxf>
      <font>
        <color rgb="FF7030A0"/>
      </font>
      <fill>
        <patternFill>
          <bgColor rgb="FFEAE8FF"/>
        </patternFill>
      </fill>
    </dxf>
    <dxf>
      <font>
        <color theme="3" tint="9.9948118533890809E-2"/>
      </font>
      <fill>
        <patternFill>
          <bgColor theme="3" tint="0.89996032593768116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A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Planned Story Points by Sprint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Planned SP</c:v>
          </c:tx>
          <c:invertIfNegative val="1"/>
          <c:cat>
            <c:strLit>
              <c:ptCount val="9"/>
              <c:pt idx="0">
                <c:v>Sprint 0</c:v>
              </c:pt>
              <c:pt idx="1">
                <c:v>Sprint 1</c:v>
              </c:pt>
              <c:pt idx="2">
                <c:v>Sprint 2</c:v>
              </c:pt>
              <c:pt idx="3">
                <c:v>Sprint 3</c:v>
              </c:pt>
              <c:pt idx="4">
                <c:v>Sprint 4</c:v>
              </c:pt>
              <c:pt idx="5">
                <c:v>Sprint 5</c:v>
              </c:pt>
              <c:pt idx="6">
                <c:v>Sprint 6</c:v>
              </c:pt>
              <c:pt idx="7">
                <c:v>Sprint 7</c:v>
              </c:pt>
              <c:pt idx="8">
                <c:v>Sprint 8</c:v>
              </c:pt>
            </c:strLit>
          </c:cat>
          <c:val>
            <c:numLit>
              <c:formatCode>General</c:formatCode>
              <c:ptCount val="9"/>
              <c:pt idx="0">
                <c:v>13</c:v>
              </c:pt>
              <c:pt idx="1">
                <c:v>32</c:v>
              </c:pt>
              <c:pt idx="2">
                <c:v>37</c:v>
              </c:pt>
              <c:pt idx="3">
                <c:v>42</c:v>
              </c:pt>
              <c:pt idx="4">
                <c:v>47</c:v>
              </c:pt>
              <c:pt idx="5">
                <c:v>26</c:v>
              </c:pt>
              <c:pt idx="6">
                <c:v>34</c:v>
              </c:pt>
              <c:pt idx="7">
                <c:v>21</c:v>
              </c:pt>
              <c:pt idx="8">
                <c:v>31</c:v>
              </c:pt>
            </c:numLit>
          </c:val>
          <c:extLst>
            <c:ext xmlns:c16="http://schemas.microsoft.com/office/drawing/2014/chart" uri="{C3380CC4-5D6E-409C-BE32-E72D297353CC}">
              <c16:uniqueId val="{00000000-0BD2-2843-9E1E-762216F61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VN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E5E7EB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13</xdr:row>
      <xdr:rowOff>0</xdr:rowOff>
    </xdr:from>
    <xdr:ext cx="5334000" cy="2857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dqhieuse/sport_booking_webapp/commit/9ea6710c55bd5d75ce992ff74a9f8bc98e625ef7" TargetMode="External"/><Relationship Id="rId13" Type="http://schemas.openxmlformats.org/officeDocument/2006/relationships/hyperlink" Target="https://github.com/dqhieuse/sport_booking_webapp/commit/a818783bc763e7894935b42c8907eccd84469495" TargetMode="External"/><Relationship Id="rId18" Type="http://schemas.openxmlformats.org/officeDocument/2006/relationships/hyperlink" Target="https://github.com/dqhieuse/sport_booking_webapp/commit/7c28081b592376b5f114320c4b2b97ab7aaafcf5" TargetMode="External"/><Relationship Id="rId26" Type="http://schemas.openxmlformats.org/officeDocument/2006/relationships/hyperlink" Target="https://github.com/dqhieuse/sport_booking_webapp/commit/f3874dedaafd79fa41468d446b09b3fcd230fcd8" TargetMode="External"/><Relationship Id="rId3" Type="http://schemas.openxmlformats.org/officeDocument/2006/relationships/hyperlink" Target="https://github.com/dqhieuse/sport_booking_webapp/pull/2" TargetMode="External"/><Relationship Id="rId21" Type="http://schemas.openxmlformats.org/officeDocument/2006/relationships/hyperlink" Target="https://github.com/dqhieuse/sport_booking_webapp/commit/505a5b2f4106a5681a9ae6920cd5f6778a43d28d" TargetMode="External"/><Relationship Id="rId7" Type="http://schemas.openxmlformats.org/officeDocument/2006/relationships/hyperlink" Target="https://github.com/dqhieuse/sport_booking_webapp/commit/e7f1cb3884c70e2631e7a305d47345e81d2386d5" TargetMode="External"/><Relationship Id="rId12" Type="http://schemas.openxmlformats.org/officeDocument/2006/relationships/hyperlink" Target="https://github.com/dqhieuse/sport_booking_webapp/pull/3" TargetMode="External"/><Relationship Id="rId17" Type="http://schemas.openxmlformats.org/officeDocument/2006/relationships/hyperlink" Target="https://github.com/dqhieuse/sport_booking_webapp/commit/7c28081b592376b5f114320c4b2b97ab7aaafcf5" TargetMode="External"/><Relationship Id="rId25" Type="http://schemas.openxmlformats.org/officeDocument/2006/relationships/hyperlink" Target="https://github.com/dqhieuse/sport_booking_webapp/commit/e56525bdc2a817c2e3725ffb2161949b3d2e3bd0" TargetMode="External"/><Relationship Id="rId2" Type="http://schemas.openxmlformats.org/officeDocument/2006/relationships/hyperlink" Target="https://github.com/dqhieuse/sport_booking_webapp/pull/2" TargetMode="External"/><Relationship Id="rId16" Type="http://schemas.openxmlformats.org/officeDocument/2006/relationships/hyperlink" Target="https://github.com/dqhieuse/sport_booking_webapp/commit/ccc1d90b863917fa4444e3b3ed4a854c616c2da7" TargetMode="External"/><Relationship Id="rId20" Type="http://schemas.openxmlformats.org/officeDocument/2006/relationships/hyperlink" Target="https://github.com/dqhieuse/sport_booking_webapp/commit/e970e163b1498ea48bb2a978c79ec2acc64e7493" TargetMode="External"/><Relationship Id="rId29" Type="http://schemas.openxmlformats.org/officeDocument/2006/relationships/hyperlink" Target="https://github.com/dqhieuse/sport_booking_webapp/commit/112c524ea170bd378a723c8489e3022b4ac2505a" TargetMode="External"/><Relationship Id="rId1" Type="http://schemas.openxmlformats.org/officeDocument/2006/relationships/hyperlink" Target="https://github.com/dqhieuse/sport_booking_webapp/pull/2" TargetMode="External"/><Relationship Id="rId6" Type="http://schemas.openxmlformats.org/officeDocument/2006/relationships/hyperlink" Target="https://github.com/dqhieuse/sport_booking_webapp/commit/68c7c7265f0f6bc84cbeba6ad132d0d5319c64a5" TargetMode="External"/><Relationship Id="rId11" Type="http://schemas.openxmlformats.org/officeDocument/2006/relationships/hyperlink" Target="https://github.com/dqhieuse/sport_booking_webapp/commit/ee452ebe7b0fe9bfb4b1f96c2503a23e0b9919da" TargetMode="External"/><Relationship Id="rId24" Type="http://schemas.openxmlformats.org/officeDocument/2006/relationships/hyperlink" Target="https://github.com/dqhieuse/sport_booking_webapp/commit/8450c708a287d7cceee8b9bbb48f2c7408861838" TargetMode="External"/><Relationship Id="rId5" Type="http://schemas.openxmlformats.org/officeDocument/2006/relationships/hyperlink" Target="https://github.com/dqhieuse/sport_booking_webapp/commit/1dc61b5806dd82d6278b16a77a670b1f2fafabaf" TargetMode="External"/><Relationship Id="rId15" Type="http://schemas.openxmlformats.org/officeDocument/2006/relationships/hyperlink" Target="https://github.com/dqhieuse/sport_booking_webapp/commit/60c9e93ddd889fcf46afe0d050f85426039e38dd" TargetMode="External"/><Relationship Id="rId23" Type="http://schemas.openxmlformats.org/officeDocument/2006/relationships/hyperlink" Target="https://github.com/dqhieuse/sport_booking_webapp/commit/e94d389dd5612f0c5334dca9f1a32a2ebfc7b484" TargetMode="External"/><Relationship Id="rId28" Type="http://schemas.openxmlformats.org/officeDocument/2006/relationships/hyperlink" Target="https://github.com/dqhieuse/sport_booking_webapp/commit/7bc4b76e12b9605a57605e02dad7bdf814952e71" TargetMode="External"/><Relationship Id="rId10" Type="http://schemas.openxmlformats.org/officeDocument/2006/relationships/hyperlink" Target="https://github.com/dqhieuse/sport_booking_webapp/commit/ee452ebe7b0fe9bfb4b1f96c2503a23e0b9919da" TargetMode="External"/><Relationship Id="rId19" Type="http://schemas.openxmlformats.org/officeDocument/2006/relationships/hyperlink" Target="https://github.com/dqhieuse/sport_booking_webapp/commit/e970e163b1498ea48bb2a978c79ec2acc64e7493" TargetMode="External"/><Relationship Id="rId4" Type="http://schemas.openxmlformats.org/officeDocument/2006/relationships/hyperlink" Target="https://github.com/dqhieuse/sport_booking_webapp/commit/01c38b7f05e22696d4da7daecdea6255d82aa7ef" TargetMode="External"/><Relationship Id="rId9" Type="http://schemas.openxmlformats.org/officeDocument/2006/relationships/hyperlink" Target="https://github.com/dqhieuse/sport_booking_webapp/commit/9ea6710c55bd5d75ce992ff74a9f8bc98e625ef7" TargetMode="External"/><Relationship Id="rId14" Type="http://schemas.openxmlformats.org/officeDocument/2006/relationships/hyperlink" Target="https://github.com/dqhieuse/sport_booking_webapp/commit/0d1e65b2fe457df87125e1bd07cff1118089506a" TargetMode="External"/><Relationship Id="rId22" Type="http://schemas.openxmlformats.org/officeDocument/2006/relationships/hyperlink" Target="https://github.com/dqhieuse/sport_booking_webapp/commit/6517f94dc54d956f2018cd3c7d5b40d10c88a7b4" TargetMode="External"/><Relationship Id="rId27" Type="http://schemas.openxmlformats.org/officeDocument/2006/relationships/hyperlink" Target="https://github.com/dqhieuse/sport_booking_webapp/commit/8bfc111035aaeb6c025965253ca1464c2e08cf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"/>
  <sheetViews>
    <sheetView zoomScale="130" zoomScaleNormal="130" workbookViewId="0">
      <selection activeCell="D24" sqref="D24"/>
    </sheetView>
  </sheetViews>
  <sheetFormatPr baseColWidth="10" defaultColWidth="8.83203125" defaultRowHeight="15"/>
  <cols>
    <col min="1" max="1" width="8.83203125" style="7"/>
    <col min="2" max="2" width="35.1640625" style="7" customWidth="1"/>
    <col min="3" max="3" width="45.1640625" style="7" customWidth="1"/>
    <col min="4" max="4" width="23.33203125" style="7" customWidth="1"/>
    <col min="5" max="5" width="38.33203125" style="7" customWidth="1"/>
    <col min="6" max="6" width="49.5" style="7" customWidth="1"/>
    <col min="7" max="7" width="44.33203125" style="7" customWidth="1"/>
    <col min="8" max="16384" width="8.83203125" style="7"/>
  </cols>
  <sheetData>
    <row r="1" spans="1:12" ht="45.25" customHeight="1">
      <c r="A1" s="3"/>
      <c r="B1" s="4" t="s">
        <v>0</v>
      </c>
      <c r="C1" s="5"/>
      <c r="D1" s="5"/>
      <c r="E1" s="5"/>
      <c r="F1" s="5"/>
      <c r="G1" s="5"/>
      <c r="H1" s="6"/>
      <c r="I1" s="6"/>
      <c r="J1" s="6"/>
      <c r="K1" s="6"/>
      <c r="L1" s="6"/>
    </row>
    <row r="2" spans="1:12"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ht="35.75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H3" s="6"/>
      <c r="I3" s="6"/>
      <c r="J3" s="6"/>
      <c r="K3" s="6"/>
      <c r="L3" s="6"/>
    </row>
    <row r="4" spans="1:12" ht="45">
      <c r="A4" s="9">
        <v>1</v>
      </c>
      <c r="B4" s="9" t="s">
        <v>7</v>
      </c>
      <c r="C4" s="9" t="s">
        <v>8</v>
      </c>
      <c r="D4" s="9" t="s">
        <v>9</v>
      </c>
      <c r="E4" s="9" t="s">
        <v>10</v>
      </c>
      <c r="F4" s="9" t="s">
        <v>11</v>
      </c>
      <c r="H4" s="6"/>
      <c r="I4" s="6"/>
      <c r="J4" s="6"/>
      <c r="K4" s="6"/>
      <c r="L4" s="6"/>
    </row>
    <row r="5" spans="1:12" ht="45">
      <c r="A5" s="9">
        <v>2</v>
      </c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H5" s="6"/>
      <c r="I5" s="6"/>
      <c r="J5" s="6"/>
      <c r="K5" s="6"/>
      <c r="L5" s="6"/>
    </row>
    <row r="6" spans="1:12" ht="45">
      <c r="A6" s="9">
        <v>3</v>
      </c>
      <c r="B6" s="9" t="s">
        <v>17</v>
      </c>
      <c r="C6" s="9" t="s">
        <v>18</v>
      </c>
      <c r="D6" s="9" t="s">
        <v>19</v>
      </c>
      <c r="E6" s="9" t="s">
        <v>20</v>
      </c>
      <c r="F6" s="9" t="s">
        <v>21</v>
      </c>
      <c r="H6" s="6"/>
      <c r="I6" s="6"/>
      <c r="J6" s="6"/>
      <c r="K6" s="6"/>
      <c r="L6" s="6"/>
    </row>
    <row r="7" spans="1:12" ht="30">
      <c r="A7" s="9">
        <v>4</v>
      </c>
      <c r="B7" s="9" t="s">
        <v>22</v>
      </c>
      <c r="C7" s="9" t="s">
        <v>23</v>
      </c>
      <c r="D7" s="9" t="s">
        <v>24</v>
      </c>
      <c r="E7" s="9" t="s">
        <v>25</v>
      </c>
      <c r="F7" s="9" t="s">
        <v>26</v>
      </c>
      <c r="H7" s="6"/>
      <c r="I7" s="6"/>
      <c r="J7" s="6"/>
      <c r="K7" s="6"/>
      <c r="L7" s="6"/>
    </row>
    <row r="8" spans="1:12" ht="45">
      <c r="A8" s="9">
        <v>5</v>
      </c>
      <c r="B8" s="9" t="s">
        <v>27</v>
      </c>
      <c r="C8" s="9" t="s">
        <v>28</v>
      </c>
      <c r="D8" s="9" t="s">
        <v>29</v>
      </c>
      <c r="E8" s="9" t="s">
        <v>30</v>
      </c>
      <c r="F8" s="9" t="s">
        <v>31</v>
      </c>
      <c r="H8" s="6"/>
      <c r="I8" s="6"/>
      <c r="J8" s="6"/>
      <c r="K8" s="6"/>
      <c r="L8" s="6"/>
    </row>
    <row r="9" spans="1:12" ht="45">
      <c r="A9" s="9">
        <v>6</v>
      </c>
      <c r="B9" s="9" t="s">
        <v>32</v>
      </c>
      <c r="C9" s="9" t="s">
        <v>33</v>
      </c>
      <c r="D9" s="9" t="s">
        <v>24</v>
      </c>
      <c r="E9" s="9" t="s">
        <v>34</v>
      </c>
      <c r="F9" s="9" t="s">
        <v>35</v>
      </c>
      <c r="H9" s="6"/>
      <c r="I9" s="6"/>
      <c r="J9" s="6"/>
      <c r="K9" s="6"/>
      <c r="L9" s="6"/>
    </row>
    <row r="10" spans="1:12" ht="45">
      <c r="A10" s="9">
        <v>7</v>
      </c>
      <c r="B10" s="9" t="s">
        <v>36</v>
      </c>
      <c r="C10" s="9" t="s">
        <v>37</v>
      </c>
      <c r="D10" s="9" t="s">
        <v>38</v>
      </c>
      <c r="E10" s="9" t="s">
        <v>39</v>
      </c>
      <c r="F10" s="9" t="s">
        <v>40</v>
      </c>
      <c r="H10" s="6"/>
      <c r="I10" s="6"/>
      <c r="J10" s="6"/>
      <c r="K10" s="6"/>
      <c r="L10" s="6"/>
    </row>
    <row r="11" spans="1:12" ht="30">
      <c r="A11" s="9">
        <v>8</v>
      </c>
      <c r="B11" s="9" t="s">
        <v>41</v>
      </c>
      <c r="C11" s="9" t="s">
        <v>42</v>
      </c>
      <c r="D11" s="9" t="s">
        <v>43</v>
      </c>
      <c r="E11" s="9" t="s">
        <v>44</v>
      </c>
      <c r="F11" s="9" t="s">
        <v>45</v>
      </c>
      <c r="H11" s="6"/>
      <c r="I11" s="6"/>
      <c r="J11" s="6"/>
      <c r="K11" s="6"/>
      <c r="L11" s="6"/>
    </row>
    <row r="12" spans="1:12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 ht="35.75" customHeight="1">
      <c r="B13" s="8" t="s">
        <v>46</v>
      </c>
      <c r="C13" s="8" t="s">
        <v>47</v>
      </c>
      <c r="D13" s="6"/>
      <c r="E13" s="8" t="s">
        <v>48</v>
      </c>
      <c r="F13" s="8" t="s">
        <v>49</v>
      </c>
      <c r="G13" s="8" t="s">
        <v>50</v>
      </c>
      <c r="H13" s="6"/>
      <c r="I13" s="6"/>
      <c r="J13" s="6"/>
      <c r="K13" s="6"/>
      <c r="L13" s="6"/>
    </row>
    <row r="14" spans="1:12" s="10" customFormat="1" ht="30">
      <c r="B14" s="32" t="s">
        <v>51</v>
      </c>
      <c r="C14" s="32" t="s">
        <v>52</v>
      </c>
      <c r="D14" s="13"/>
      <c r="E14" s="9" t="s">
        <v>53</v>
      </c>
      <c r="F14" s="9" t="s">
        <v>54</v>
      </c>
      <c r="G14" s="9" t="s">
        <v>55</v>
      </c>
      <c r="H14" s="13"/>
      <c r="I14" s="13"/>
      <c r="J14" s="13"/>
      <c r="K14" s="13"/>
      <c r="L14" s="13"/>
    </row>
    <row r="15" spans="1:12" s="10" customFormat="1" ht="30">
      <c r="B15" s="32" t="s">
        <v>56</v>
      </c>
      <c r="C15" s="32" t="s">
        <v>57</v>
      </c>
      <c r="D15" s="13"/>
      <c r="E15" s="9" t="s">
        <v>58</v>
      </c>
      <c r="F15" s="9" t="s">
        <v>59</v>
      </c>
      <c r="G15" s="9" t="s">
        <v>60</v>
      </c>
      <c r="H15" s="13"/>
      <c r="I15" s="13"/>
      <c r="J15" s="13"/>
      <c r="K15" s="13"/>
      <c r="L15" s="13"/>
    </row>
    <row r="16" spans="1:12" s="10" customFormat="1" ht="30">
      <c r="B16" s="32" t="s">
        <v>61</v>
      </c>
      <c r="C16" s="32" t="s">
        <v>62</v>
      </c>
      <c r="D16" s="13"/>
      <c r="E16" s="9" t="s">
        <v>63</v>
      </c>
      <c r="F16" s="9" t="s">
        <v>64</v>
      </c>
      <c r="G16" s="9" t="s">
        <v>65</v>
      </c>
      <c r="H16" s="13"/>
      <c r="I16" s="13"/>
      <c r="J16" s="13"/>
      <c r="K16" s="13"/>
      <c r="L16" s="13"/>
    </row>
    <row r="17" spans="1:12" s="10" customFormat="1" ht="30">
      <c r="B17" s="32" t="s">
        <v>66</v>
      </c>
      <c r="C17" s="32" t="s">
        <v>67</v>
      </c>
      <c r="D17" s="13"/>
      <c r="E17" s="9" t="s">
        <v>68</v>
      </c>
      <c r="F17" s="9" t="s">
        <v>69</v>
      </c>
      <c r="G17" s="9" t="s">
        <v>70</v>
      </c>
      <c r="H17" s="13"/>
      <c r="I17" s="13"/>
      <c r="J17" s="13"/>
      <c r="K17" s="13"/>
      <c r="L17" s="13"/>
    </row>
    <row r="18" spans="1:12" s="10" customFormat="1" ht="30">
      <c r="B18" s="32" t="s">
        <v>71</v>
      </c>
      <c r="C18" s="32" t="s">
        <v>72</v>
      </c>
      <c r="D18" s="13"/>
      <c r="E18" s="9" t="s">
        <v>73</v>
      </c>
      <c r="F18" s="9" t="s">
        <v>74</v>
      </c>
      <c r="G18" s="9" t="s">
        <v>75</v>
      </c>
      <c r="H18" s="13"/>
      <c r="I18" s="13"/>
      <c r="J18" s="13"/>
      <c r="K18" s="13"/>
      <c r="L18" s="13"/>
    </row>
    <row r="19" spans="1:12" s="10" customFormat="1" ht="30">
      <c r="B19" s="32" t="s">
        <v>76</v>
      </c>
      <c r="C19" s="32" t="s">
        <v>77</v>
      </c>
      <c r="D19" s="13"/>
      <c r="E19" s="9" t="s">
        <v>78</v>
      </c>
      <c r="F19" s="9" t="s">
        <v>79</v>
      </c>
      <c r="G19" s="9" t="s">
        <v>80</v>
      </c>
      <c r="H19" s="13"/>
      <c r="I19" s="13"/>
      <c r="J19" s="13"/>
      <c r="K19" s="13"/>
      <c r="L19" s="13"/>
    </row>
    <row r="20" spans="1:12" ht="35.75" customHeight="1">
      <c r="B20" s="6"/>
      <c r="C20" s="6"/>
      <c r="D20" s="6"/>
      <c r="E20" s="9" t="s">
        <v>81</v>
      </c>
      <c r="F20" s="9" t="s">
        <v>82</v>
      </c>
      <c r="G20" s="9" t="s">
        <v>83</v>
      </c>
      <c r="H20" s="6"/>
      <c r="I20" s="6"/>
      <c r="J20" s="6"/>
      <c r="K20" s="6"/>
      <c r="L20" s="6"/>
    </row>
    <row r="21" spans="1:12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ht="29.75" customHeight="1">
      <c r="A22" s="38"/>
      <c r="B22" s="38" t="s">
        <v>84</v>
      </c>
      <c r="C22" s="39"/>
      <c r="D22" s="39"/>
      <c r="E22" s="39"/>
      <c r="F22" s="39"/>
      <c r="G22" s="6"/>
      <c r="H22" s="6"/>
      <c r="I22" s="6"/>
      <c r="J22" s="6"/>
      <c r="K22" s="6"/>
      <c r="L22" s="6"/>
    </row>
    <row r="23" spans="1:12" ht="26.75" customHeight="1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26.75" customHeight="1">
      <c r="A24" s="40" t="s">
        <v>3</v>
      </c>
      <c r="B24" s="40" t="s">
        <v>85</v>
      </c>
      <c r="C24" s="40" t="s">
        <v>86</v>
      </c>
      <c r="D24" s="40" t="s">
        <v>87</v>
      </c>
      <c r="E24" s="40" t="s">
        <v>88</v>
      </c>
      <c r="F24" s="40" t="s">
        <v>89</v>
      </c>
      <c r="G24" s="6"/>
      <c r="H24" s="6"/>
      <c r="I24" s="6"/>
      <c r="J24" s="6"/>
      <c r="K24" s="6"/>
      <c r="L24" s="6"/>
    </row>
    <row r="25" spans="1:12" ht="42.75" customHeight="1">
      <c r="A25" s="9" t="s">
        <v>8</v>
      </c>
      <c r="B25" s="9" t="s">
        <v>90</v>
      </c>
      <c r="C25" s="9" t="s">
        <v>91</v>
      </c>
      <c r="D25" s="9" t="s">
        <v>92</v>
      </c>
      <c r="E25" s="9" t="s">
        <v>93</v>
      </c>
      <c r="F25" s="9" t="s">
        <v>94</v>
      </c>
      <c r="G25" s="6"/>
      <c r="H25" s="6"/>
      <c r="I25" s="6"/>
      <c r="J25" s="6"/>
      <c r="K25" s="6"/>
      <c r="L25" s="6"/>
    </row>
    <row r="26" spans="1:12" ht="42.75" customHeight="1">
      <c r="A26" s="9" t="s">
        <v>18</v>
      </c>
      <c r="B26" s="9" t="s">
        <v>95</v>
      </c>
      <c r="C26" s="9" t="s">
        <v>96</v>
      </c>
      <c r="D26" s="9" t="s">
        <v>97</v>
      </c>
      <c r="E26" s="9" t="s">
        <v>98</v>
      </c>
      <c r="F26" s="9" t="s">
        <v>99</v>
      </c>
      <c r="G26" s="6"/>
      <c r="H26" s="6"/>
      <c r="I26" s="6"/>
      <c r="J26" s="6"/>
      <c r="K26" s="6"/>
      <c r="L26" s="6"/>
    </row>
    <row r="27" spans="1:12" ht="26.75" customHeight="1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ht="29.75" customHeight="1">
      <c r="A28" s="39"/>
      <c r="B28" s="38" t="s">
        <v>100</v>
      </c>
      <c r="C28" s="39"/>
      <c r="D28" s="39"/>
      <c r="E28" s="39"/>
      <c r="F28" s="39"/>
      <c r="G28" s="6"/>
      <c r="H28" s="6"/>
      <c r="I28" s="6"/>
      <c r="J28" s="6"/>
      <c r="K28" s="6"/>
      <c r="L28" s="6"/>
    </row>
    <row r="29" spans="1:12" ht="26.75" customHeight="1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2" ht="26.75" customHeight="1">
      <c r="A30" s="40" t="s">
        <v>1</v>
      </c>
      <c r="B30" s="40" t="s">
        <v>101</v>
      </c>
      <c r="C30" s="40" t="s">
        <v>8</v>
      </c>
      <c r="D30" s="40" t="s">
        <v>18</v>
      </c>
      <c r="E30" s="40" t="s">
        <v>102</v>
      </c>
      <c r="F30" s="40" t="s">
        <v>103</v>
      </c>
      <c r="G30" s="6"/>
      <c r="H30" s="6"/>
      <c r="I30" s="6"/>
      <c r="J30" s="6"/>
      <c r="K30" s="6"/>
      <c r="L30" s="6"/>
    </row>
    <row r="31" spans="1:12" ht="42.75" customHeight="1">
      <c r="A31" s="9">
        <v>1</v>
      </c>
      <c r="B31" s="9" t="s">
        <v>104</v>
      </c>
      <c r="C31" s="9" t="s">
        <v>105</v>
      </c>
      <c r="D31" s="9" t="s">
        <v>106</v>
      </c>
      <c r="E31" s="9" t="s">
        <v>107</v>
      </c>
      <c r="F31" s="9" t="s">
        <v>108</v>
      </c>
      <c r="G31" s="6"/>
      <c r="H31" s="6"/>
      <c r="I31" s="6"/>
      <c r="J31" s="6"/>
      <c r="K31" s="6"/>
      <c r="L31" s="6"/>
    </row>
    <row r="32" spans="1:12" ht="42.75" customHeight="1">
      <c r="A32" s="9">
        <v>2</v>
      </c>
      <c r="B32" s="9" t="s">
        <v>109</v>
      </c>
      <c r="C32" s="9" t="s">
        <v>110</v>
      </c>
      <c r="D32" s="9" t="s">
        <v>111</v>
      </c>
      <c r="E32" s="9" t="s">
        <v>112</v>
      </c>
      <c r="F32" s="9" t="s">
        <v>113</v>
      </c>
      <c r="G32" s="6"/>
      <c r="H32" s="6"/>
      <c r="I32" s="6"/>
      <c r="J32" s="6"/>
      <c r="K32" s="6"/>
      <c r="L32" s="6"/>
    </row>
    <row r="33" spans="1:12" ht="64" customHeight="1">
      <c r="A33" s="9">
        <v>3</v>
      </c>
      <c r="B33" s="9" t="s">
        <v>114</v>
      </c>
      <c r="C33" s="9" t="s">
        <v>115</v>
      </c>
      <c r="D33" s="9" t="s">
        <v>116</v>
      </c>
      <c r="E33" s="9" t="s">
        <v>117</v>
      </c>
      <c r="F33" s="9" t="s">
        <v>118</v>
      </c>
      <c r="G33" s="6"/>
      <c r="H33" s="6"/>
      <c r="I33" s="6"/>
      <c r="J33" s="6"/>
      <c r="K33" s="6"/>
      <c r="L33" s="6"/>
    </row>
    <row r="34" spans="1:12" ht="42.75" customHeight="1">
      <c r="A34" s="9">
        <v>4</v>
      </c>
      <c r="B34" s="9" t="s">
        <v>119</v>
      </c>
      <c r="C34" s="9" t="s">
        <v>120</v>
      </c>
      <c r="D34" s="9" t="s">
        <v>121</v>
      </c>
      <c r="E34" s="9" t="s">
        <v>122</v>
      </c>
      <c r="F34" s="9" t="s">
        <v>123</v>
      </c>
      <c r="G34" s="6"/>
      <c r="H34" s="6"/>
      <c r="I34" s="6"/>
      <c r="J34" s="6"/>
      <c r="K34" s="6"/>
      <c r="L34" s="6"/>
    </row>
    <row r="35" spans="1:12" ht="42.75" customHeight="1">
      <c r="A35" s="9">
        <v>5</v>
      </c>
      <c r="B35" s="9" t="s">
        <v>124</v>
      </c>
      <c r="C35" s="9" t="s">
        <v>125</v>
      </c>
      <c r="D35" s="9" t="s">
        <v>126</v>
      </c>
      <c r="E35" s="9" t="s">
        <v>127</v>
      </c>
      <c r="F35" s="9" t="s">
        <v>128</v>
      </c>
      <c r="G35" s="6"/>
      <c r="H35" s="6"/>
      <c r="I35" s="6"/>
      <c r="J35" s="6"/>
      <c r="K35" s="6"/>
      <c r="L35" s="6"/>
    </row>
    <row r="36" spans="1:12" ht="64" customHeight="1">
      <c r="A36" s="9">
        <v>6</v>
      </c>
      <c r="B36" s="9" t="s">
        <v>41</v>
      </c>
      <c r="C36" s="9" t="s">
        <v>129</v>
      </c>
      <c r="D36" s="9" t="s">
        <v>130</v>
      </c>
      <c r="E36" s="9" t="s">
        <v>131</v>
      </c>
      <c r="F36" s="9" t="s">
        <v>132</v>
      </c>
      <c r="G36" s="6"/>
      <c r="H36" s="6"/>
      <c r="I36" s="6"/>
      <c r="J36" s="6"/>
      <c r="K36" s="6"/>
      <c r="L36" s="6"/>
    </row>
    <row r="37" spans="1:12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2:12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2:12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2:12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2:12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2:12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2:12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2:12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2:12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2:12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2:12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2:12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2:12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spans="2:12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spans="2:12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2:12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2:12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2:12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2:12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2:12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2:12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spans="2:12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spans="2:12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2:12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2:12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2:12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spans="2:12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2:12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spans="2:12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2:12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2:12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2:12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spans="2:12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spans="2:12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2:12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spans="2:12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2:12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spans="2:12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spans="2:12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2:12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2:12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2:12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2:12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spans="2:12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spans="2:12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2:12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2:12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2:12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2:12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2:12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2:12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2:12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spans="2:12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spans="2:12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2:12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spans="2:12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2:12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2:12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spans="2:12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spans="2:12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2:12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2:12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spans="2:12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2:12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spans="2:12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spans="2:12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2:12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2:12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spans="2:12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spans="2:12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spans="2:12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spans="2:12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2:12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2:12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2:12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2:12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spans="2:12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spans="2:12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2:12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2:12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2:12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2:12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2:12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spans="2:12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2:12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2:12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spans="2:12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spans="2:12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spans="2:12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spans="2:12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spans="2:12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spans="2:12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spans="2:12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spans="2:12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spans="2:12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spans="2:12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spans="2:12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spans="2:12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spans="2:12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2:12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spans="2:12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spans="2:12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spans="2:12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spans="2:12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spans="2:12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spans="2:12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spans="2:12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spans="2:12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spans="2:12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2:12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spans="2:12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spans="2:12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spans="2:12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2:12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2:12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spans="2:12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2:12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spans="2:12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2:12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spans="2:12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2:12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spans="2:12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spans="2:12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2:12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spans="2:12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spans="2:12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2:12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2:12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spans="2:12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spans="2:12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spans="2:12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spans="2:12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spans="2:12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spans="2:12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2:12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2:12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2:12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2:12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2:12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2:12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spans="2:12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spans="2:12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spans="2:12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spans="2:12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2:12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spans="2:12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spans="2:12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spans="2:12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spans="2:12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2:12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spans="2:12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spans="2:12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tabSelected="1" zoomScale="140" zoomScaleNormal="140" workbookViewId="0">
      <selection activeCell="A9" sqref="A9"/>
    </sheetView>
  </sheetViews>
  <sheetFormatPr baseColWidth="10" defaultColWidth="8.83203125" defaultRowHeight="15"/>
  <cols>
    <col min="1" max="1" width="61.83203125" style="7" customWidth="1"/>
    <col min="2" max="2" width="48.1640625" style="7" customWidth="1"/>
    <col min="3" max="3" width="8.83203125" style="7"/>
    <col min="4" max="4" width="9.1640625" style="7" customWidth="1"/>
    <col min="5" max="5" width="34.6640625" style="7" customWidth="1"/>
    <col min="6" max="6" width="9.83203125" style="7" customWidth="1"/>
    <col min="7" max="7" width="10.6640625" style="7" customWidth="1"/>
    <col min="8" max="8" width="41.6640625" style="7" customWidth="1"/>
    <col min="9" max="16384" width="8.83203125" style="7"/>
  </cols>
  <sheetData>
    <row r="1" spans="1:11" ht="45.25" customHeight="1">
      <c r="A1" s="33" t="s">
        <v>133</v>
      </c>
      <c r="B1" s="5"/>
      <c r="C1" s="5"/>
      <c r="D1" s="5"/>
      <c r="E1" s="5"/>
      <c r="F1" s="5"/>
      <c r="G1" s="5"/>
      <c r="H1" s="5"/>
      <c r="I1" s="6"/>
      <c r="J1" s="6"/>
      <c r="K1" s="6"/>
    </row>
    <row r="2" spans="1:11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22" customHeight="1">
      <c r="A3" s="8" t="s">
        <v>134</v>
      </c>
      <c r="B3" s="8" t="s">
        <v>135</v>
      </c>
      <c r="C3" s="6"/>
      <c r="D3" s="8" t="s">
        <v>136</v>
      </c>
      <c r="E3" s="8" t="s">
        <v>137</v>
      </c>
      <c r="F3" s="8" t="s">
        <v>138</v>
      </c>
      <c r="G3" s="8" t="s">
        <v>24</v>
      </c>
      <c r="H3" s="8" t="s">
        <v>139</v>
      </c>
      <c r="I3" s="6"/>
      <c r="J3" s="6"/>
      <c r="K3" s="6"/>
    </row>
    <row r="4" spans="1:11" ht="22" customHeight="1">
      <c r="A4" s="18" t="s">
        <v>140</v>
      </c>
      <c r="B4" s="19">
        <f>COUNTA('Product Backlog'!A2:A200)</f>
        <v>36</v>
      </c>
      <c r="C4" s="6"/>
      <c r="D4" s="9" t="str">
        <f>'Sprint Plan'!A2</f>
        <v>Sprint 0</v>
      </c>
      <c r="E4" s="9" t="str">
        <f>'Sprint Plan'!B2</f>
        <v>Project foundation and production skeleton</v>
      </c>
      <c r="F4" s="9">
        <f>'Sprint Plan'!G2</f>
        <v>13</v>
      </c>
      <c r="G4" s="9" t="str">
        <f>'Sprint Plan'!H2</f>
        <v>Done</v>
      </c>
      <c r="H4" s="9" t="str">
        <f>'Sprint Plan'!F2</f>
        <v>Backend/frontend run locally and health check works</v>
      </c>
      <c r="I4" s="6"/>
      <c r="J4" s="6"/>
      <c r="K4" s="6"/>
    </row>
    <row r="5" spans="1:11" ht="22" customHeight="1">
      <c r="A5" s="20" t="s">
        <v>141</v>
      </c>
      <c r="B5" s="21">
        <f>COUNTIF('Product Backlog'!G2:G200,"Done")</f>
        <v>6</v>
      </c>
      <c r="C5" s="6"/>
      <c r="D5" s="9" t="str">
        <f>'Sprint Plan'!A3</f>
        <v>Sprint 1</v>
      </c>
      <c r="E5" s="9" t="str">
        <f>'Sprint Plan'!B3</f>
        <v>Database core and public browsing</v>
      </c>
      <c r="F5" s="9">
        <f>'Sprint Plan'!G3</f>
        <v>32</v>
      </c>
      <c r="G5" s="9" t="str">
        <f>'Sprint Plan'!H3</f>
        <v>Done</v>
      </c>
      <c r="H5" s="9" t="str">
        <f>'Sprint Plan'!F3</f>
        <v>Guest browses courts from PostgreSQL data</v>
      </c>
      <c r="I5" s="6"/>
      <c r="J5" s="6"/>
      <c r="K5" s="6"/>
    </row>
    <row r="6" spans="1:11" ht="22" customHeight="1">
      <c r="A6" s="20" t="s">
        <v>142</v>
      </c>
      <c r="B6" s="21">
        <f>COUNTIF('Product Backlog'!G2:G200,"In Progress")</f>
        <v>0</v>
      </c>
      <c r="C6" s="6"/>
      <c r="D6" s="9" t="str">
        <f>'Sprint Plan'!A4</f>
        <v>Sprint 2</v>
      </c>
      <c r="E6" s="9" t="str">
        <f>'Sprint Plan'!B4</f>
        <v>Local auth, JWT, refresh token, and profile</v>
      </c>
      <c r="F6" s="9">
        <f>'Sprint Plan'!G4</f>
        <v>37</v>
      </c>
      <c r="G6" s="9" t="str">
        <f>'Sprint Plan'!H4</f>
        <v>Planned</v>
      </c>
      <c r="H6" s="9" t="str">
        <f>'Sprint Plan'!F4</f>
        <v>User registers, verifies, logs in, and views profile</v>
      </c>
      <c r="I6" s="6"/>
      <c r="J6" s="6"/>
      <c r="K6" s="6"/>
    </row>
    <row r="7" spans="1:11" ht="22" customHeight="1">
      <c r="A7" s="20" t="s">
        <v>143</v>
      </c>
      <c r="B7" s="21">
        <f>COUNTIF('Product Backlog'!G2:G200,"Blocked")</f>
        <v>0</v>
      </c>
      <c r="C7" s="6"/>
      <c r="D7" s="9" t="str">
        <f>'Sprint Plan'!A5</f>
        <v>Sprint 3</v>
      </c>
      <c r="E7" s="9" t="str">
        <f>'Sprint Plan'!B5</f>
        <v>Vendor setup</v>
      </c>
      <c r="F7" s="9">
        <f>'Sprint Plan'!G5</f>
        <v>42</v>
      </c>
      <c r="G7" s="9" t="str">
        <f>'Sprint Plan'!H5</f>
        <v>Planned</v>
      </c>
      <c r="H7" s="9" t="str">
        <f>'Sprint Plan'!F5</f>
        <v>Vendor prepares a bookable court</v>
      </c>
      <c r="I7" s="6"/>
      <c r="J7" s="6"/>
      <c r="K7" s="6"/>
    </row>
    <row r="8" spans="1:11" ht="22" customHeight="1">
      <c r="A8" s="20" t="s">
        <v>144</v>
      </c>
      <c r="B8" s="21" t="str">
        <f>COUNTIF('Release Checklist'!D2:D100,"Done")&amp;"/"&amp;COUNTA('Release Checklist'!A2:A100)</f>
        <v>1/14</v>
      </c>
      <c r="C8" s="6"/>
      <c r="D8" s="9" t="str">
        <f>'Sprint Plan'!A6</f>
        <v>Sprint 4</v>
      </c>
      <c r="E8" s="9" t="str">
        <f>'Sprint Plan'!B6</f>
        <v>Booking and cash payment MVP</v>
      </c>
      <c r="F8" s="9">
        <f>'Sprint Plan'!G6</f>
        <v>47</v>
      </c>
      <c r="G8" s="9" t="str">
        <f>'Sprint Plan'!H6</f>
        <v>Planned</v>
      </c>
      <c r="H8" s="9" t="str">
        <f>'Sprint Plan'!F6</f>
        <v>User books by cash and vendor marks paid</v>
      </c>
      <c r="I8" s="6"/>
      <c r="J8" s="6"/>
      <c r="K8" s="6"/>
    </row>
    <row r="9" spans="1:11" ht="22" customHeight="1">
      <c r="A9" s="22" t="s">
        <v>145</v>
      </c>
      <c r="B9" s="23">
        <f>COUNTIF(Risks!H2:H100,"Open")</f>
        <v>7</v>
      </c>
      <c r="C9" s="6"/>
      <c r="D9" s="9" t="str">
        <f>'Sprint Plan'!A7</f>
        <v>Sprint 5</v>
      </c>
      <c r="E9" s="9" t="str">
        <f>'Sprint Plan'!B7</f>
        <v>VNPAY sandbox payment</v>
      </c>
      <c r="F9" s="9">
        <f>'Sprint Plan'!G7</f>
        <v>26</v>
      </c>
      <c r="G9" s="9" t="str">
        <f>'Sprint Plan'!H7</f>
        <v>Planned</v>
      </c>
      <c r="H9" s="9" t="str">
        <f>'Sprint Plan'!F7</f>
        <v>User pays through VNPAY sandbox</v>
      </c>
      <c r="I9" s="6"/>
      <c r="J9" s="6"/>
      <c r="K9" s="6"/>
    </row>
    <row r="10" spans="1:11" ht="22" customHeight="1">
      <c r="A10" s="6"/>
      <c r="B10" s="6"/>
      <c r="C10" s="6"/>
      <c r="D10" s="9" t="str">
        <f>'Sprint Plan'!A8</f>
        <v>Sprint 6</v>
      </c>
      <c r="E10" s="9" t="str">
        <f>'Sprint Plan'!B8</f>
        <v>Admin dashboard and moderation</v>
      </c>
      <c r="F10" s="9">
        <f>'Sprint Plan'!G8</f>
        <v>34</v>
      </c>
      <c r="G10" s="9" t="str">
        <f>'Sprint Plan'!H8</f>
        <v>Planned</v>
      </c>
      <c r="H10" s="9" t="str">
        <f>'Sprint Plan'!F8</f>
        <v>Admin moderates platform data</v>
      </c>
      <c r="I10" s="6"/>
      <c r="J10" s="6"/>
      <c r="K10" s="6"/>
    </row>
    <row r="11" spans="1:11" ht="22" customHeight="1">
      <c r="A11" s="6"/>
      <c r="B11" s="6"/>
      <c r="C11" s="6"/>
      <c r="D11" s="9" t="str">
        <f>'Sprint Plan'!A9</f>
        <v>Sprint 7</v>
      </c>
      <c r="E11" s="9" t="str">
        <f>'Sprint Plan'!B9</f>
        <v>Google login and UX polish</v>
      </c>
      <c r="F11" s="9">
        <f>'Sprint Plan'!G9</f>
        <v>21</v>
      </c>
      <c r="G11" s="9" t="str">
        <f>'Sprint Plan'!H9</f>
        <v>Planned</v>
      </c>
      <c r="H11" s="9" t="str">
        <f>'Sprint Plan'!F9</f>
        <v>Google login and polished browsing flow</v>
      </c>
      <c r="I11" s="6"/>
      <c r="J11" s="6"/>
      <c r="K11" s="6"/>
    </row>
    <row r="12" spans="1:11" ht="22" customHeight="1">
      <c r="C12" s="6"/>
      <c r="D12" s="9" t="str">
        <f>'Sprint Plan'!A10</f>
        <v>Sprint 8</v>
      </c>
      <c r="E12" s="9" t="str">
        <f>'Sprint Plan'!B10</f>
        <v>Production hardening and release</v>
      </c>
      <c r="F12" s="9">
        <f>'Sprint Plan'!G10</f>
        <v>31</v>
      </c>
      <c r="G12" s="9" t="str">
        <f>'Sprint Plan'!H10</f>
        <v>Planned</v>
      </c>
      <c r="H12" s="9" t="str">
        <f>'Sprint Plan'!F10</f>
        <v>Deployed production-like demo</v>
      </c>
      <c r="I12" s="6"/>
      <c r="J12" s="6"/>
      <c r="K12" s="6"/>
    </row>
    <row r="13" spans="1:11" s="10" customFormat="1">
      <c r="A13" s="8" t="s">
        <v>146</v>
      </c>
      <c r="B13" s="8" t="s">
        <v>147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1:11" s="10" customFormat="1" ht="35.75" customHeight="1">
      <c r="A14" s="11" t="s">
        <v>148</v>
      </c>
      <c r="B14" s="12" t="s">
        <v>149</v>
      </c>
      <c r="C14" s="13"/>
      <c r="D14" s="13"/>
      <c r="E14" s="13"/>
      <c r="F14" s="13"/>
      <c r="G14" s="13"/>
      <c r="H14" s="13"/>
      <c r="I14" s="13"/>
      <c r="J14" s="13"/>
      <c r="K14" s="13"/>
    </row>
    <row r="15" spans="1:11" s="10" customFormat="1" ht="35.75" customHeight="1">
      <c r="A15" s="14" t="s">
        <v>150</v>
      </c>
      <c r="B15" s="15" t="s">
        <v>151</v>
      </c>
      <c r="C15" s="13"/>
      <c r="D15" s="13"/>
      <c r="E15" s="13"/>
      <c r="F15" s="13"/>
      <c r="G15" s="13"/>
      <c r="H15" s="13"/>
      <c r="I15" s="13"/>
      <c r="J15" s="13"/>
      <c r="K15" s="13"/>
    </row>
    <row r="16" spans="1:11" s="10" customFormat="1" ht="35.75" customHeight="1">
      <c r="A16" s="14" t="s">
        <v>152</v>
      </c>
      <c r="B16" s="15" t="s">
        <v>153</v>
      </c>
      <c r="C16" s="13"/>
      <c r="D16" s="13"/>
      <c r="E16" s="13"/>
      <c r="F16" s="13"/>
      <c r="G16" s="13"/>
      <c r="H16" s="13"/>
      <c r="I16" s="13"/>
      <c r="J16" s="13"/>
      <c r="K16" s="13"/>
    </row>
    <row r="17" spans="1:11" s="10" customFormat="1" ht="35.75" customHeight="1">
      <c r="A17" s="14" t="s">
        <v>154</v>
      </c>
      <c r="B17" s="15" t="s">
        <v>155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1" s="10" customFormat="1" ht="35.75" customHeight="1">
      <c r="A18" s="14" t="s">
        <v>156</v>
      </c>
      <c r="B18" s="15" t="s">
        <v>157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>
      <c r="A19" s="16" t="s">
        <v>158</v>
      </c>
      <c r="B19" s="17" t="s">
        <v>159</v>
      </c>
      <c r="C19" s="6"/>
      <c r="D19" s="6"/>
      <c r="E19" s="6"/>
      <c r="F19" s="6"/>
      <c r="G19" s="6"/>
      <c r="H19" s="6"/>
      <c r="I19" s="6"/>
      <c r="J19" s="6"/>
      <c r="K19" s="6"/>
    </row>
    <row r="20" spans="1:1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1:1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1:1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1:1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1:1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spans="1:1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spans="1:1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spans="1:1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1:1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spans="1:1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spans="1:1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spans="1:1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spans="1:1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spans="1:1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spans="1:1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1:1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spans="1: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spans="1:1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spans="1:1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1:1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spans="1:1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spans="1:1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spans="1:1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spans="1:1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spans="1:1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spans="1:1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spans="1:1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spans="1:1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spans="1:1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spans="1:1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spans="1:1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spans="1:1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spans="1:1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spans="1:1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spans="1:1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spans="1:1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spans="1:1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spans="1:1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spans="1:1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1:1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spans="1:1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spans="1:1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spans="1:1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spans="1:1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spans="1:1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spans="1:1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spans="1:1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spans="1:1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spans="1:1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spans="1:1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spans="1:1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spans="1:1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spans="1:1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spans="1:1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spans="1:1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spans="1:1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spans="1:1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spans="1:1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1:1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spans="1:1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spans="1:1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spans="1:1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spans="1:1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1:1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spans="1:1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spans="1:1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1:1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spans="1:1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spans="1:1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spans="1:1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spans="1:1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spans="1:1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spans="1:1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spans="1:1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spans="1:1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spans="1:1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spans="1:1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spans="1:1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spans="1:1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spans="1:1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spans="1:1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spans="1:1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spans="1:1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1:1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spans="1:1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spans="1:1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spans="1:1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1:1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spans="1:1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spans="1:1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spans="1:1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spans="1:1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1:1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spans="1:1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1:1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spans="1:1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spans="1:1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1:1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1:1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spans="1:1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spans="1:1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1:1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</sheetData>
  <sheetProtection sheet="1" objects="1" scenarios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K200"/>
  <sheetViews>
    <sheetView zoomScale="140" zoomScaleNormal="140" workbookViewId="0">
      <pane ySplit="1" topLeftCell="A6" activePane="bottomLeft" state="frozen"/>
      <selection pane="bottomLeft" activeCell="G8" sqref="G8"/>
    </sheetView>
  </sheetViews>
  <sheetFormatPr baseColWidth="10" defaultColWidth="8.83203125" defaultRowHeight="15"/>
  <cols>
    <col min="1" max="1" width="7.1640625" customWidth="1"/>
    <col min="2" max="2" width="13.83203125" customWidth="1"/>
    <col min="3" max="3" width="50" customWidth="1"/>
    <col min="4" max="4" width="8.83203125" customWidth="1"/>
    <col min="5" max="5" width="9" customWidth="1"/>
    <col min="6" max="6" width="16" customWidth="1"/>
    <col min="7" max="7" width="9.83203125" customWidth="1"/>
    <col min="8" max="8" width="9.33203125" customWidth="1"/>
    <col min="9" max="9" width="15.1640625" customWidth="1"/>
    <col min="10" max="10" width="44.33203125" customWidth="1"/>
    <col min="11" max="11" width="36" customWidth="1"/>
  </cols>
  <sheetData>
    <row r="1" spans="1:11" s="24" customFormat="1" ht="28" customHeight="1">
      <c r="A1" s="4" t="s">
        <v>160</v>
      </c>
      <c r="B1" s="4" t="s">
        <v>161</v>
      </c>
      <c r="C1" s="4" t="s">
        <v>162</v>
      </c>
      <c r="D1" s="4" t="s">
        <v>163</v>
      </c>
      <c r="E1" s="4" t="s">
        <v>164</v>
      </c>
      <c r="F1" s="4" t="s">
        <v>165</v>
      </c>
      <c r="G1" s="4" t="s">
        <v>24</v>
      </c>
      <c r="H1" s="4" t="s">
        <v>166</v>
      </c>
      <c r="I1" s="4" t="s">
        <v>167</v>
      </c>
      <c r="J1" s="4" t="s">
        <v>168</v>
      </c>
      <c r="K1" s="4" t="s">
        <v>169</v>
      </c>
    </row>
    <row r="2" spans="1:11" ht="21" hidden="1" customHeight="1">
      <c r="A2" s="9" t="s">
        <v>170</v>
      </c>
      <c r="B2" s="9" t="s">
        <v>171</v>
      </c>
      <c r="C2" s="9" t="s">
        <v>172</v>
      </c>
      <c r="D2" s="9" t="s">
        <v>173</v>
      </c>
      <c r="E2" s="9" t="s">
        <v>174</v>
      </c>
      <c r="F2" s="9" t="s">
        <v>175</v>
      </c>
      <c r="G2" s="9" t="s">
        <v>78</v>
      </c>
      <c r="H2" s="9" t="s">
        <v>176</v>
      </c>
      <c r="I2" s="9">
        <v>3</v>
      </c>
      <c r="J2" s="9" t="s">
        <v>177</v>
      </c>
      <c r="K2" s="9"/>
    </row>
    <row r="3" spans="1:11" ht="21" hidden="1" customHeight="1">
      <c r="A3" s="9" t="s">
        <v>178</v>
      </c>
      <c r="B3" s="9" t="s">
        <v>171</v>
      </c>
      <c r="C3" s="9" t="s">
        <v>179</v>
      </c>
      <c r="D3" s="9" t="s">
        <v>180</v>
      </c>
      <c r="E3" s="9" t="s">
        <v>174</v>
      </c>
      <c r="F3" s="9" t="s">
        <v>175</v>
      </c>
      <c r="G3" s="9" t="s">
        <v>78</v>
      </c>
      <c r="H3" s="9" t="s">
        <v>176</v>
      </c>
      <c r="I3" s="9">
        <v>3</v>
      </c>
      <c r="J3" s="9" t="s">
        <v>181</v>
      </c>
      <c r="K3" s="9"/>
    </row>
    <row r="4" spans="1:11" ht="21" hidden="1" customHeight="1">
      <c r="A4" s="9" t="s">
        <v>182</v>
      </c>
      <c r="B4" s="9" t="s">
        <v>171</v>
      </c>
      <c r="C4" s="9" t="s">
        <v>183</v>
      </c>
      <c r="D4" s="9" t="s">
        <v>173</v>
      </c>
      <c r="E4" s="9" t="s">
        <v>174</v>
      </c>
      <c r="F4" s="9" t="s">
        <v>175</v>
      </c>
      <c r="G4" s="9" t="s">
        <v>78</v>
      </c>
      <c r="H4" s="9" t="s">
        <v>176</v>
      </c>
      <c r="I4" s="9">
        <v>5</v>
      </c>
      <c r="J4" s="9" t="s">
        <v>184</v>
      </c>
      <c r="K4" s="9" t="s">
        <v>185</v>
      </c>
    </row>
    <row r="5" spans="1:11" ht="21" hidden="1" customHeight="1">
      <c r="A5" s="9" t="s">
        <v>186</v>
      </c>
      <c r="B5" s="9" t="s">
        <v>171</v>
      </c>
      <c r="C5" s="9" t="s">
        <v>187</v>
      </c>
      <c r="D5" s="9" t="s">
        <v>173</v>
      </c>
      <c r="E5" s="9" t="s">
        <v>174</v>
      </c>
      <c r="F5" s="9" t="s">
        <v>175</v>
      </c>
      <c r="G5" s="9" t="s">
        <v>78</v>
      </c>
      <c r="H5" s="9" t="s">
        <v>176</v>
      </c>
      <c r="I5" s="9">
        <v>2</v>
      </c>
      <c r="J5" s="9" t="s">
        <v>188</v>
      </c>
      <c r="K5" s="9"/>
    </row>
    <row r="6" spans="1:11" ht="21" customHeight="1">
      <c r="A6" s="9" t="s">
        <v>189</v>
      </c>
      <c r="B6" s="9" t="s">
        <v>190</v>
      </c>
      <c r="C6" s="9" t="s">
        <v>191</v>
      </c>
      <c r="D6" s="9" t="s">
        <v>180</v>
      </c>
      <c r="E6" s="9" t="s">
        <v>174</v>
      </c>
      <c r="F6" s="9" t="s">
        <v>192</v>
      </c>
      <c r="G6" s="9" t="s">
        <v>78</v>
      </c>
      <c r="H6" s="9" t="s">
        <v>176</v>
      </c>
      <c r="I6" s="9">
        <v>8</v>
      </c>
      <c r="J6" s="9" t="s">
        <v>193</v>
      </c>
      <c r="K6" s="9"/>
    </row>
    <row r="7" spans="1:11" ht="21" customHeight="1">
      <c r="A7" s="9" t="s">
        <v>194</v>
      </c>
      <c r="B7" s="9" t="s">
        <v>190</v>
      </c>
      <c r="C7" s="9" t="s">
        <v>195</v>
      </c>
      <c r="D7" s="9" t="s">
        <v>180</v>
      </c>
      <c r="E7" s="9" t="s">
        <v>174</v>
      </c>
      <c r="F7" s="9" t="s">
        <v>192</v>
      </c>
      <c r="G7" s="9" t="s">
        <v>78</v>
      </c>
      <c r="H7" s="9" t="s">
        <v>176</v>
      </c>
      <c r="I7" s="9">
        <v>5</v>
      </c>
      <c r="J7" s="9" t="s">
        <v>196</v>
      </c>
      <c r="K7" s="9"/>
    </row>
    <row r="8" spans="1:11" ht="21" customHeight="1">
      <c r="A8" s="9" t="s">
        <v>197</v>
      </c>
      <c r="B8" s="9" t="s">
        <v>190</v>
      </c>
      <c r="C8" s="9" t="s">
        <v>198</v>
      </c>
      <c r="D8" s="9" t="s">
        <v>180</v>
      </c>
      <c r="E8" s="9" t="s">
        <v>174</v>
      </c>
      <c r="F8" s="9" t="s">
        <v>192</v>
      </c>
      <c r="G8" s="9" t="s">
        <v>73</v>
      </c>
      <c r="H8" s="9" t="s">
        <v>176</v>
      </c>
      <c r="I8" s="9">
        <v>8</v>
      </c>
      <c r="J8" s="9" t="s">
        <v>199</v>
      </c>
      <c r="K8" s="9"/>
    </row>
    <row r="9" spans="1:11" ht="21" customHeight="1">
      <c r="A9" s="9" t="s">
        <v>200</v>
      </c>
      <c r="B9" s="9" t="s">
        <v>190</v>
      </c>
      <c r="C9" s="9" t="s">
        <v>201</v>
      </c>
      <c r="D9" s="9" t="s">
        <v>180</v>
      </c>
      <c r="E9" s="9" t="s">
        <v>174</v>
      </c>
      <c r="F9" s="9" t="s">
        <v>192</v>
      </c>
      <c r="G9" s="9" t="s">
        <v>58</v>
      </c>
      <c r="H9" s="9" t="s">
        <v>176</v>
      </c>
      <c r="I9" s="9">
        <v>8</v>
      </c>
      <c r="J9" s="9" t="s">
        <v>202</v>
      </c>
      <c r="K9" s="9"/>
    </row>
    <row r="10" spans="1:11" ht="21" hidden="1" customHeight="1">
      <c r="A10" s="9" t="s">
        <v>203</v>
      </c>
      <c r="B10" s="9" t="s">
        <v>204</v>
      </c>
      <c r="C10" s="9" t="s">
        <v>205</v>
      </c>
      <c r="D10" s="9" t="s">
        <v>206</v>
      </c>
      <c r="E10" s="9" t="s">
        <v>174</v>
      </c>
      <c r="F10" s="9" t="s">
        <v>207</v>
      </c>
      <c r="G10" s="9" t="s">
        <v>53</v>
      </c>
      <c r="H10" s="9" t="s">
        <v>176</v>
      </c>
      <c r="I10" s="9">
        <v>8</v>
      </c>
      <c r="J10" s="9" t="s">
        <v>208</v>
      </c>
      <c r="K10" s="9"/>
    </row>
    <row r="11" spans="1:11" ht="21" hidden="1" customHeight="1">
      <c r="A11" s="9" t="s">
        <v>209</v>
      </c>
      <c r="B11" s="9" t="s">
        <v>204</v>
      </c>
      <c r="C11" s="9" t="s">
        <v>210</v>
      </c>
      <c r="D11" s="9" t="s">
        <v>206</v>
      </c>
      <c r="E11" s="9" t="s">
        <v>174</v>
      </c>
      <c r="F11" s="9" t="s">
        <v>207</v>
      </c>
      <c r="G11" s="9" t="s">
        <v>53</v>
      </c>
      <c r="H11" s="9" t="s">
        <v>176</v>
      </c>
      <c r="I11" s="9">
        <v>13</v>
      </c>
      <c r="J11" s="9" t="s">
        <v>211</v>
      </c>
      <c r="K11" s="9"/>
    </row>
    <row r="12" spans="1:11" ht="21" hidden="1" customHeight="1">
      <c r="A12" s="9" t="s">
        <v>212</v>
      </c>
      <c r="B12" s="9" t="s">
        <v>204</v>
      </c>
      <c r="C12" s="9" t="s">
        <v>213</v>
      </c>
      <c r="D12" s="9" t="s">
        <v>206</v>
      </c>
      <c r="E12" s="9" t="s">
        <v>174</v>
      </c>
      <c r="F12" s="9" t="s">
        <v>207</v>
      </c>
      <c r="G12" s="9" t="s">
        <v>53</v>
      </c>
      <c r="H12" s="9" t="s">
        <v>176</v>
      </c>
      <c r="I12" s="9">
        <v>8</v>
      </c>
      <c r="J12" s="9" t="s">
        <v>214</v>
      </c>
      <c r="K12" s="9"/>
    </row>
    <row r="13" spans="1:11" ht="21" hidden="1" customHeight="1">
      <c r="A13" s="9" t="s">
        <v>215</v>
      </c>
      <c r="B13" s="9" t="s">
        <v>204</v>
      </c>
      <c r="C13" s="9" t="s">
        <v>216</v>
      </c>
      <c r="D13" s="9" t="s">
        <v>206</v>
      </c>
      <c r="E13" s="9" t="s">
        <v>174</v>
      </c>
      <c r="F13" s="9" t="s">
        <v>207</v>
      </c>
      <c r="G13" s="9" t="s">
        <v>53</v>
      </c>
      <c r="H13" s="9" t="s">
        <v>176</v>
      </c>
      <c r="I13" s="9">
        <v>5</v>
      </c>
      <c r="J13" s="9" t="s">
        <v>217</v>
      </c>
      <c r="K13" s="9"/>
    </row>
    <row r="14" spans="1:11" ht="21" hidden="1" customHeight="1">
      <c r="A14" s="9" t="s">
        <v>218</v>
      </c>
      <c r="B14" s="9" t="s">
        <v>219</v>
      </c>
      <c r="C14" s="9" t="s">
        <v>220</v>
      </c>
      <c r="D14" s="9" t="s">
        <v>221</v>
      </c>
      <c r="E14" s="9" t="s">
        <v>174</v>
      </c>
      <c r="F14" s="9" t="s">
        <v>222</v>
      </c>
      <c r="G14" s="9" t="s">
        <v>53</v>
      </c>
      <c r="H14" s="9" t="s">
        <v>176</v>
      </c>
      <c r="I14" s="9">
        <v>8</v>
      </c>
      <c r="J14" s="9" t="s">
        <v>223</v>
      </c>
      <c r="K14" s="9"/>
    </row>
    <row r="15" spans="1:11" ht="21" hidden="1" customHeight="1">
      <c r="A15" s="9" t="s">
        <v>224</v>
      </c>
      <c r="B15" s="9" t="s">
        <v>219</v>
      </c>
      <c r="C15" s="9" t="s">
        <v>225</v>
      </c>
      <c r="D15" s="9" t="s">
        <v>221</v>
      </c>
      <c r="E15" s="9" t="s">
        <v>174</v>
      </c>
      <c r="F15" s="9" t="s">
        <v>222</v>
      </c>
      <c r="G15" s="9" t="s">
        <v>53</v>
      </c>
      <c r="H15" s="9" t="s">
        <v>176</v>
      </c>
      <c r="I15" s="9">
        <v>8</v>
      </c>
      <c r="J15" s="9" t="s">
        <v>226</v>
      </c>
      <c r="K15" s="9"/>
    </row>
    <row r="16" spans="1:11" ht="21" hidden="1" customHeight="1">
      <c r="A16" s="9" t="s">
        <v>227</v>
      </c>
      <c r="B16" s="9" t="s">
        <v>219</v>
      </c>
      <c r="C16" s="9" t="s">
        <v>228</v>
      </c>
      <c r="D16" s="9" t="s">
        <v>221</v>
      </c>
      <c r="E16" s="9" t="s">
        <v>174</v>
      </c>
      <c r="F16" s="9" t="s">
        <v>222</v>
      </c>
      <c r="G16" s="9" t="s">
        <v>53</v>
      </c>
      <c r="H16" s="9" t="s">
        <v>176</v>
      </c>
      <c r="I16" s="9">
        <v>8</v>
      </c>
      <c r="J16" s="9" t="s">
        <v>229</v>
      </c>
      <c r="K16" s="9"/>
    </row>
    <row r="17" spans="1:11" ht="21" hidden="1" customHeight="1">
      <c r="A17" s="9" t="s">
        <v>230</v>
      </c>
      <c r="B17" s="9" t="s">
        <v>219</v>
      </c>
      <c r="C17" s="9" t="s">
        <v>231</v>
      </c>
      <c r="D17" s="9" t="s">
        <v>221</v>
      </c>
      <c r="E17" s="9" t="s">
        <v>174</v>
      </c>
      <c r="F17" s="9" t="s">
        <v>222</v>
      </c>
      <c r="G17" s="9" t="s">
        <v>53</v>
      </c>
      <c r="H17" s="9" t="s">
        <v>176</v>
      </c>
      <c r="I17" s="9">
        <v>5</v>
      </c>
      <c r="J17" s="9" t="s">
        <v>232</v>
      </c>
      <c r="K17" s="9"/>
    </row>
    <row r="18" spans="1:11" ht="21" hidden="1" customHeight="1">
      <c r="A18" s="9" t="s">
        <v>233</v>
      </c>
      <c r="B18" s="9" t="s">
        <v>219</v>
      </c>
      <c r="C18" s="9" t="s">
        <v>234</v>
      </c>
      <c r="D18" s="9" t="s">
        <v>221</v>
      </c>
      <c r="E18" s="9" t="s">
        <v>174</v>
      </c>
      <c r="F18" s="9" t="s">
        <v>222</v>
      </c>
      <c r="G18" s="9" t="s">
        <v>53</v>
      </c>
      <c r="H18" s="9" t="s">
        <v>176</v>
      </c>
      <c r="I18" s="9">
        <v>13</v>
      </c>
      <c r="J18" s="9" t="s">
        <v>235</v>
      </c>
      <c r="K18" s="9"/>
    </row>
    <row r="19" spans="1:11" ht="21" hidden="1" customHeight="1">
      <c r="A19" s="9" t="s">
        <v>236</v>
      </c>
      <c r="B19" s="9" t="s">
        <v>237</v>
      </c>
      <c r="C19" s="9" t="s">
        <v>242</v>
      </c>
      <c r="D19" s="9" t="s">
        <v>206</v>
      </c>
      <c r="E19" s="9" t="s">
        <v>174</v>
      </c>
      <c r="F19" s="9" t="s">
        <v>239</v>
      </c>
      <c r="G19" s="9" t="s">
        <v>53</v>
      </c>
      <c r="H19" s="9" t="s">
        <v>176</v>
      </c>
      <c r="I19" s="9">
        <v>13</v>
      </c>
      <c r="J19" s="9" t="s">
        <v>243</v>
      </c>
      <c r="K19" s="9"/>
    </row>
    <row r="20" spans="1:11" ht="21" hidden="1" customHeight="1">
      <c r="A20" s="9" t="s">
        <v>241</v>
      </c>
      <c r="B20" s="9" t="s">
        <v>237</v>
      </c>
      <c r="C20" s="9" t="s">
        <v>238</v>
      </c>
      <c r="D20" s="9" t="s">
        <v>206</v>
      </c>
      <c r="E20" s="9" t="s">
        <v>174</v>
      </c>
      <c r="F20" s="9" t="s">
        <v>239</v>
      </c>
      <c r="G20" s="9" t="s">
        <v>53</v>
      </c>
      <c r="H20" s="9" t="s">
        <v>176</v>
      </c>
      <c r="I20" s="9">
        <v>5</v>
      </c>
      <c r="J20" s="9" t="s">
        <v>240</v>
      </c>
      <c r="K20" s="9"/>
    </row>
    <row r="21" spans="1:11" ht="21" hidden="1" customHeight="1">
      <c r="A21" s="9" t="s">
        <v>244</v>
      </c>
      <c r="B21" s="9" t="s">
        <v>237</v>
      </c>
      <c r="C21" s="9" t="s">
        <v>245</v>
      </c>
      <c r="D21" s="9" t="s">
        <v>206</v>
      </c>
      <c r="E21" s="9" t="s">
        <v>174</v>
      </c>
      <c r="F21" s="9" t="s">
        <v>239</v>
      </c>
      <c r="G21" s="9" t="s">
        <v>53</v>
      </c>
      <c r="H21" s="9" t="s">
        <v>176</v>
      </c>
      <c r="I21" s="9">
        <v>8</v>
      </c>
      <c r="J21" s="9" t="s">
        <v>246</v>
      </c>
      <c r="K21" s="9"/>
    </row>
    <row r="22" spans="1:11" ht="21" hidden="1" customHeight="1">
      <c r="A22" s="9" t="s">
        <v>247</v>
      </c>
      <c r="B22" s="9" t="s">
        <v>237</v>
      </c>
      <c r="C22" s="9" t="s">
        <v>248</v>
      </c>
      <c r="D22" s="9" t="s">
        <v>221</v>
      </c>
      <c r="E22" s="9" t="s">
        <v>174</v>
      </c>
      <c r="F22" s="9" t="s">
        <v>239</v>
      </c>
      <c r="G22" s="9" t="s">
        <v>53</v>
      </c>
      <c r="H22" s="9" t="s">
        <v>176</v>
      </c>
      <c r="I22" s="9">
        <v>8</v>
      </c>
      <c r="J22" s="9" t="s">
        <v>249</v>
      </c>
      <c r="K22" s="9"/>
    </row>
    <row r="23" spans="1:11" ht="21" hidden="1" customHeight="1">
      <c r="A23" s="9" t="s">
        <v>250</v>
      </c>
      <c r="B23" s="9" t="s">
        <v>237</v>
      </c>
      <c r="C23" s="9" t="s">
        <v>251</v>
      </c>
      <c r="D23" s="9" t="s">
        <v>206</v>
      </c>
      <c r="E23" s="9" t="s">
        <v>174</v>
      </c>
      <c r="F23" s="9" t="s">
        <v>239</v>
      </c>
      <c r="G23" s="9" t="s">
        <v>53</v>
      </c>
      <c r="H23" s="9" t="s">
        <v>176</v>
      </c>
      <c r="I23" s="9">
        <v>13</v>
      </c>
      <c r="J23" s="9" t="s">
        <v>252</v>
      </c>
      <c r="K23" s="9"/>
    </row>
    <row r="24" spans="1:11" ht="21" hidden="1" customHeight="1">
      <c r="A24" s="9" t="s">
        <v>253</v>
      </c>
      <c r="B24" s="9" t="s">
        <v>254</v>
      </c>
      <c r="C24" s="9" t="s">
        <v>255</v>
      </c>
      <c r="D24" s="9" t="s">
        <v>206</v>
      </c>
      <c r="E24" s="9" t="s">
        <v>174</v>
      </c>
      <c r="F24" s="9" t="s">
        <v>256</v>
      </c>
      <c r="G24" s="9" t="s">
        <v>53</v>
      </c>
      <c r="H24" s="9" t="s">
        <v>176</v>
      </c>
      <c r="I24" s="9">
        <v>8</v>
      </c>
      <c r="J24" s="9" t="s">
        <v>257</v>
      </c>
      <c r="K24" s="9"/>
    </row>
    <row r="25" spans="1:11" ht="21" hidden="1" customHeight="1">
      <c r="A25" s="9" t="s">
        <v>258</v>
      </c>
      <c r="B25" s="9" t="s">
        <v>254</v>
      </c>
      <c r="C25" s="9" t="s">
        <v>259</v>
      </c>
      <c r="D25" s="9" t="s">
        <v>206</v>
      </c>
      <c r="E25" s="9" t="s">
        <v>174</v>
      </c>
      <c r="F25" s="9" t="s">
        <v>256</v>
      </c>
      <c r="G25" s="9" t="s">
        <v>53</v>
      </c>
      <c r="H25" s="9" t="s">
        <v>176</v>
      </c>
      <c r="I25" s="9">
        <v>13</v>
      </c>
      <c r="J25" s="9" t="s">
        <v>260</v>
      </c>
      <c r="K25" s="9"/>
    </row>
    <row r="26" spans="1:11" ht="21" hidden="1" customHeight="1">
      <c r="A26" s="9" t="s">
        <v>261</v>
      </c>
      <c r="B26" s="9" t="s">
        <v>254</v>
      </c>
      <c r="C26" s="9" t="s">
        <v>262</v>
      </c>
      <c r="D26" s="9" t="s">
        <v>206</v>
      </c>
      <c r="E26" s="9" t="s">
        <v>174</v>
      </c>
      <c r="F26" s="9" t="s">
        <v>256</v>
      </c>
      <c r="G26" s="9" t="s">
        <v>53</v>
      </c>
      <c r="H26" s="9" t="s">
        <v>176</v>
      </c>
      <c r="I26" s="9">
        <v>5</v>
      </c>
      <c r="J26" s="9" t="s">
        <v>263</v>
      </c>
      <c r="K26" s="9"/>
    </row>
    <row r="27" spans="1:11" ht="21" hidden="1" customHeight="1">
      <c r="A27" s="9" t="s">
        <v>264</v>
      </c>
      <c r="B27" s="9" t="s">
        <v>265</v>
      </c>
      <c r="C27" s="9" t="s">
        <v>266</v>
      </c>
      <c r="D27" s="9" t="s">
        <v>173</v>
      </c>
      <c r="E27" s="9" t="s">
        <v>174</v>
      </c>
      <c r="F27" s="9" t="s">
        <v>267</v>
      </c>
      <c r="G27" s="9" t="s">
        <v>53</v>
      </c>
      <c r="H27" s="9" t="s">
        <v>176</v>
      </c>
      <c r="I27" s="9">
        <v>5</v>
      </c>
      <c r="J27" s="9" t="s">
        <v>268</v>
      </c>
      <c r="K27" s="9"/>
    </row>
    <row r="28" spans="1:11" ht="21" hidden="1" customHeight="1">
      <c r="A28" s="9" t="s">
        <v>269</v>
      </c>
      <c r="B28" s="9" t="s">
        <v>265</v>
      </c>
      <c r="C28" s="9" t="s">
        <v>270</v>
      </c>
      <c r="D28" s="9" t="s">
        <v>173</v>
      </c>
      <c r="E28" s="9" t="s">
        <v>174</v>
      </c>
      <c r="F28" s="9" t="s">
        <v>267</v>
      </c>
      <c r="G28" s="9" t="s">
        <v>53</v>
      </c>
      <c r="H28" s="9" t="s">
        <v>176</v>
      </c>
      <c r="I28" s="9">
        <v>8</v>
      </c>
      <c r="J28" s="9" t="s">
        <v>271</v>
      </c>
      <c r="K28" s="9"/>
    </row>
    <row r="29" spans="1:11" ht="21" hidden="1" customHeight="1">
      <c r="A29" s="9" t="s">
        <v>272</v>
      </c>
      <c r="B29" s="9" t="s">
        <v>265</v>
      </c>
      <c r="C29" s="9" t="s">
        <v>273</v>
      </c>
      <c r="D29" s="9" t="s">
        <v>173</v>
      </c>
      <c r="E29" s="9" t="s">
        <v>174</v>
      </c>
      <c r="F29" s="9" t="s">
        <v>267</v>
      </c>
      <c r="G29" s="9" t="s">
        <v>53</v>
      </c>
      <c r="H29" s="9" t="s">
        <v>176</v>
      </c>
      <c r="I29" s="9">
        <v>8</v>
      </c>
      <c r="J29" s="9" t="s">
        <v>274</v>
      </c>
      <c r="K29" s="9"/>
    </row>
    <row r="30" spans="1:11" ht="21" hidden="1" customHeight="1">
      <c r="A30" s="9" t="s">
        <v>275</v>
      </c>
      <c r="B30" s="9" t="s">
        <v>265</v>
      </c>
      <c r="C30" s="9" t="s">
        <v>276</v>
      </c>
      <c r="D30" s="9" t="s">
        <v>173</v>
      </c>
      <c r="E30" s="9" t="s">
        <v>174</v>
      </c>
      <c r="F30" s="9" t="s">
        <v>267</v>
      </c>
      <c r="G30" s="9" t="s">
        <v>53</v>
      </c>
      <c r="H30" s="9" t="s">
        <v>176</v>
      </c>
      <c r="I30" s="9">
        <v>13</v>
      </c>
      <c r="J30" s="9" t="s">
        <v>277</v>
      </c>
      <c r="K30" s="9"/>
    </row>
    <row r="31" spans="1:11" ht="21" hidden="1" customHeight="1">
      <c r="A31" s="9" t="s">
        <v>278</v>
      </c>
      <c r="B31" s="9" t="s">
        <v>204</v>
      </c>
      <c r="C31" s="9" t="s">
        <v>279</v>
      </c>
      <c r="D31" s="9" t="s">
        <v>206</v>
      </c>
      <c r="E31" s="9" t="s">
        <v>280</v>
      </c>
      <c r="F31" s="9" t="s">
        <v>281</v>
      </c>
      <c r="G31" s="9" t="s">
        <v>53</v>
      </c>
      <c r="H31" s="9" t="s">
        <v>176</v>
      </c>
      <c r="I31" s="9">
        <v>8</v>
      </c>
      <c r="J31" s="9" t="s">
        <v>282</v>
      </c>
      <c r="K31" s="9" t="s">
        <v>283</v>
      </c>
    </row>
    <row r="32" spans="1:11" ht="21" hidden="1" customHeight="1">
      <c r="A32" s="9" t="s">
        <v>284</v>
      </c>
      <c r="B32" s="9" t="s">
        <v>285</v>
      </c>
      <c r="C32" s="9" t="s">
        <v>286</v>
      </c>
      <c r="D32" s="9" t="s">
        <v>180</v>
      </c>
      <c r="E32" s="9" t="s">
        <v>280</v>
      </c>
      <c r="F32" s="9" t="s">
        <v>281</v>
      </c>
      <c r="G32" s="9" t="s">
        <v>53</v>
      </c>
      <c r="H32" s="9" t="s">
        <v>176</v>
      </c>
      <c r="I32" s="9">
        <v>8</v>
      </c>
      <c r="J32" s="9" t="s">
        <v>287</v>
      </c>
      <c r="K32" s="9"/>
    </row>
    <row r="33" spans="1:11" ht="21" hidden="1" customHeight="1">
      <c r="A33" s="9" t="s">
        <v>288</v>
      </c>
      <c r="B33" s="9" t="s">
        <v>285</v>
      </c>
      <c r="C33" s="9" t="s">
        <v>289</v>
      </c>
      <c r="D33" s="9" t="s">
        <v>180</v>
      </c>
      <c r="E33" s="9" t="s">
        <v>280</v>
      </c>
      <c r="F33" s="9" t="s">
        <v>281</v>
      </c>
      <c r="G33" s="9" t="s">
        <v>53</v>
      </c>
      <c r="H33" s="9" t="s">
        <v>176</v>
      </c>
      <c r="I33" s="9">
        <v>5</v>
      </c>
      <c r="J33" s="9" t="s">
        <v>290</v>
      </c>
      <c r="K33" s="9"/>
    </row>
    <row r="34" spans="1:11" ht="21" hidden="1" customHeight="1">
      <c r="A34" s="9" t="s">
        <v>291</v>
      </c>
      <c r="B34" s="9" t="s">
        <v>292</v>
      </c>
      <c r="C34" s="9" t="s">
        <v>293</v>
      </c>
      <c r="D34" s="9" t="s">
        <v>173</v>
      </c>
      <c r="E34" s="9" t="s">
        <v>174</v>
      </c>
      <c r="F34" s="9" t="s">
        <v>294</v>
      </c>
      <c r="G34" s="9" t="s">
        <v>53</v>
      </c>
      <c r="H34" s="9" t="s">
        <v>295</v>
      </c>
      <c r="I34" s="9">
        <v>8</v>
      </c>
      <c r="J34" s="9" t="s">
        <v>296</v>
      </c>
      <c r="K34" s="9"/>
    </row>
    <row r="35" spans="1:11" ht="21" hidden="1" customHeight="1">
      <c r="A35" s="9" t="s">
        <v>297</v>
      </c>
      <c r="B35" s="9" t="s">
        <v>292</v>
      </c>
      <c r="C35" s="9" t="s">
        <v>298</v>
      </c>
      <c r="D35" s="9" t="s">
        <v>173</v>
      </c>
      <c r="E35" s="9" t="s">
        <v>174</v>
      </c>
      <c r="F35" s="9" t="s">
        <v>294</v>
      </c>
      <c r="G35" s="9" t="s">
        <v>53</v>
      </c>
      <c r="H35" s="9" t="s">
        <v>176</v>
      </c>
      <c r="I35" s="9">
        <v>5</v>
      </c>
      <c r="J35" s="9" t="s">
        <v>299</v>
      </c>
      <c r="K35" s="9"/>
    </row>
    <row r="36" spans="1:11" ht="21" hidden="1" customHeight="1">
      <c r="A36" s="9" t="s">
        <v>300</v>
      </c>
      <c r="B36" s="9" t="s">
        <v>292</v>
      </c>
      <c r="C36" s="9" t="s">
        <v>301</v>
      </c>
      <c r="D36" s="9" t="s">
        <v>173</v>
      </c>
      <c r="E36" s="9" t="s">
        <v>280</v>
      </c>
      <c r="F36" s="9" t="s">
        <v>294</v>
      </c>
      <c r="G36" s="9" t="s">
        <v>53</v>
      </c>
      <c r="H36" s="9" t="s">
        <v>302</v>
      </c>
      <c r="I36" s="9">
        <v>13</v>
      </c>
      <c r="J36" s="9" t="s">
        <v>303</v>
      </c>
      <c r="K36" s="9"/>
    </row>
    <row r="37" spans="1:11" ht="21" hidden="1" customHeight="1">
      <c r="A37" s="9" t="s">
        <v>304</v>
      </c>
      <c r="B37" s="9" t="s">
        <v>292</v>
      </c>
      <c r="C37" s="9" t="s">
        <v>305</v>
      </c>
      <c r="D37" s="9" t="s">
        <v>173</v>
      </c>
      <c r="E37" s="9" t="s">
        <v>174</v>
      </c>
      <c r="F37" s="9" t="s">
        <v>294</v>
      </c>
      <c r="G37" s="9" t="s">
        <v>53</v>
      </c>
      <c r="H37" s="9" t="s">
        <v>176</v>
      </c>
      <c r="I37" s="9">
        <v>5</v>
      </c>
      <c r="J37" s="9" t="s">
        <v>306</v>
      </c>
      <c r="K37" s="9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autoFilter ref="A1:K37" xr:uid="{00000000-0001-0000-0200-000000000000}">
    <filterColumn colId="5">
      <filters>
        <filter val="Sprint 1"/>
      </filters>
    </filterColumn>
  </autoFilter>
  <dataValidations count="4">
    <dataValidation type="list" allowBlank="1" sqref="E2:E20 E21:E200" xr:uid="{00000000-0002-0000-0200-000000000000}">
      <formula1>"Must,Should,Could,Won't"</formula1>
    </dataValidation>
    <dataValidation type="list" allowBlank="1" sqref="G2:G20 G21:G200" xr:uid="{00000000-0002-0000-0200-000001000000}">
      <formula1>"Backlog,Ready,To Do,In Progress,Review,Done,Blocked"</formula1>
    </dataValidation>
    <dataValidation type="list" allowBlank="1" sqref="H2:H20 H21:H200" xr:uid="{00000000-0002-0000-0200-000002000000}">
      <formula1>"Developer,Product Owner,Tester,Designer,DevOps"</formula1>
    </dataValidation>
    <dataValidation type="whole" sqref="I2:I20 I21:I200" xr:uid="{00000000-0002-0000-0200-000003000000}">
      <formula1>0</formula1>
      <formula2>40</formula2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1CB2216C-E35A-604C-997E-FC0A6A06C93D}">
            <xm:f>Lookups!$A$8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" operator="equal" id="{CAB45EB1-1DFF-F047-B52A-34CE18965BF9}">
            <xm:f>Lookups!$A$7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" operator="equal" id="{29692A7E-0A1D-3D4F-A7CB-5B53885CF602}">
            <xm:f>Lookups!$A$6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5BDA97DC-4394-3542-96D6-7BB6A0A936AC}">
            <xm:f>Lookups!$A$5</xm:f>
            <x14:dxf>
              <font>
                <color theme="3" tint="9.9948118533890809E-2"/>
              </font>
              <fill>
                <patternFill>
                  <bgColor theme="3" tint="0.89996032593768116"/>
                </patternFill>
              </fill>
            </x14:dxf>
          </x14:cfRule>
          <x14:cfRule type="cellIs" priority="5" operator="equal" id="{645E7781-27D9-B74B-804D-DEC7ABEC8832}">
            <xm:f>Lookups!$A$3</xm:f>
            <x14:dxf>
              <font>
                <color rgb="FF7030A0"/>
              </font>
              <fill>
                <patternFill>
                  <bgColor rgb="FFEAE8FF"/>
                </patternFill>
              </fill>
            </x14:dxf>
          </x14:cfRule>
          <x14:cfRule type="cellIs" priority="6" operator="equal" id="{D4212B82-8AC9-C54C-AEF7-7B36365749F6}">
            <xm:f>Lookups!$A$2</xm:f>
            <x14:dxf>
              <fill>
                <patternFill>
                  <bgColor theme="2"/>
                </patternFill>
              </fill>
            </x14:dxf>
          </x14:cfRule>
          <xm:sqref>G2:G37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0"/>
  <sheetViews>
    <sheetView zoomScale="140" zoomScaleNormal="140" workbookViewId="0">
      <pane ySplit="1" topLeftCell="A2" activePane="bottomLeft" state="frozen"/>
      <selection pane="bottomLeft" activeCell="H3" sqref="H3"/>
    </sheetView>
  </sheetViews>
  <sheetFormatPr baseColWidth="10" defaultColWidth="8.83203125" defaultRowHeight="15"/>
  <cols>
    <col min="1" max="1" width="7.33203125" style="7" customWidth="1"/>
    <col min="2" max="2" width="31.5" style="7" customWidth="1"/>
    <col min="3" max="3" width="12.6640625" style="7" customWidth="1"/>
    <col min="4" max="4" width="11.33203125" style="7" customWidth="1"/>
    <col min="5" max="5" width="50" style="7" customWidth="1"/>
    <col min="6" max="6" width="38.83203125" style="7" customWidth="1"/>
    <col min="7" max="7" width="14.1640625" style="7" customWidth="1"/>
    <col min="8" max="8" width="12.6640625" style="7" customWidth="1"/>
    <col min="9" max="16384" width="8.83203125" style="7"/>
  </cols>
  <sheetData>
    <row r="1" spans="1:11" s="28" customFormat="1" ht="30" customHeight="1">
      <c r="A1" s="4" t="s">
        <v>136</v>
      </c>
      <c r="B1" s="4" t="s">
        <v>137</v>
      </c>
      <c r="C1" s="4" t="s">
        <v>307</v>
      </c>
      <c r="D1" s="4" t="s">
        <v>308</v>
      </c>
      <c r="E1" s="4" t="s">
        <v>309</v>
      </c>
      <c r="F1" s="4" t="s">
        <v>310</v>
      </c>
      <c r="G1" s="4" t="s">
        <v>138</v>
      </c>
      <c r="H1" s="4" t="s">
        <v>24</v>
      </c>
      <c r="I1" s="27"/>
      <c r="J1" s="27"/>
      <c r="K1" s="27"/>
    </row>
    <row r="2" spans="1:11" ht="35.75" customHeight="1">
      <c r="A2" s="9" t="s">
        <v>175</v>
      </c>
      <c r="B2" s="9" t="s">
        <v>311</v>
      </c>
      <c r="C2" s="25">
        <v>46163</v>
      </c>
      <c r="D2" s="25">
        <v>46164</v>
      </c>
      <c r="E2" s="9" t="s">
        <v>312</v>
      </c>
      <c r="F2" s="9" t="s">
        <v>313</v>
      </c>
      <c r="G2" s="9">
        <v>13</v>
      </c>
      <c r="H2" s="9" t="s">
        <v>78</v>
      </c>
      <c r="I2" s="6"/>
      <c r="J2" s="6"/>
      <c r="K2" s="6"/>
    </row>
    <row r="3" spans="1:11" ht="35.75" customHeight="1">
      <c r="A3" s="9" t="s">
        <v>192</v>
      </c>
      <c r="B3" s="9" t="s">
        <v>314</v>
      </c>
      <c r="C3" s="25">
        <v>46164</v>
      </c>
      <c r="D3" s="25">
        <v>46165</v>
      </c>
      <c r="E3" s="9" t="s">
        <v>315</v>
      </c>
      <c r="F3" s="9" t="s">
        <v>316</v>
      </c>
      <c r="G3" s="9">
        <v>32</v>
      </c>
      <c r="H3" s="9" t="s">
        <v>78</v>
      </c>
      <c r="I3" s="6"/>
      <c r="J3" s="6"/>
      <c r="K3" s="6"/>
    </row>
    <row r="4" spans="1:11" ht="35.75" customHeight="1">
      <c r="A4" s="9" t="s">
        <v>207</v>
      </c>
      <c r="B4" s="9" t="s">
        <v>318</v>
      </c>
      <c r="C4" s="25"/>
      <c r="D4" s="25"/>
      <c r="E4" s="9" t="s">
        <v>319</v>
      </c>
      <c r="F4" s="9" t="s">
        <v>320</v>
      </c>
      <c r="G4" s="9">
        <v>37</v>
      </c>
      <c r="H4" s="9" t="s">
        <v>317</v>
      </c>
      <c r="I4" s="6"/>
      <c r="J4" s="6"/>
      <c r="K4" s="6"/>
    </row>
    <row r="5" spans="1:11" ht="35.75" customHeight="1">
      <c r="A5" s="9" t="s">
        <v>222</v>
      </c>
      <c r="B5" s="9" t="s">
        <v>321</v>
      </c>
      <c r="C5" s="25"/>
      <c r="D5" s="25"/>
      <c r="E5" s="9" t="s">
        <v>322</v>
      </c>
      <c r="F5" s="9" t="s">
        <v>323</v>
      </c>
      <c r="G5" s="9">
        <v>42</v>
      </c>
      <c r="H5" s="9" t="s">
        <v>317</v>
      </c>
      <c r="I5" s="6"/>
      <c r="J5" s="6"/>
      <c r="K5" s="6"/>
    </row>
    <row r="6" spans="1:11" ht="35.75" customHeight="1">
      <c r="A6" s="9" t="s">
        <v>239</v>
      </c>
      <c r="B6" s="9" t="s">
        <v>324</v>
      </c>
      <c r="C6" s="25"/>
      <c r="D6" s="25"/>
      <c r="E6" s="9" t="s">
        <v>325</v>
      </c>
      <c r="F6" s="9" t="s">
        <v>326</v>
      </c>
      <c r="G6" s="9">
        <v>47</v>
      </c>
      <c r="H6" s="9" t="s">
        <v>317</v>
      </c>
      <c r="I6" s="6"/>
      <c r="J6" s="6"/>
      <c r="K6" s="6"/>
    </row>
    <row r="7" spans="1:11" ht="35.75" customHeight="1">
      <c r="A7" s="9" t="s">
        <v>256</v>
      </c>
      <c r="B7" s="9" t="s">
        <v>327</v>
      </c>
      <c r="C7" s="25"/>
      <c r="D7" s="25"/>
      <c r="E7" s="9" t="s">
        <v>328</v>
      </c>
      <c r="F7" s="9" t="s">
        <v>329</v>
      </c>
      <c r="G7" s="9">
        <v>26</v>
      </c>
      <c r="H7" s="9" t="s">
        <v>317</v>
      </c>
      <c r="I7" s="6"/>
      <c r="J7" s="6"/>
      <c r="K7" s="6"/>
    </row>
    <row r="8" spans="1:11" ht="35.75" customHeight="1">
      <c r="A8" s="9" t="s">
        <v>267</v>
      </c>
      <c r="B8" s="9" t="s">
        <v>330</v>
      </c>
      <c r="C8" s="25"/>
      <c r="D8" s="25"/>
      <c r="E8" s="9" t="s">
        <v>331</v>
      </c>
      <c r="F8" s="9" t="s">
        <v>332</v>
      </c>
      <c r="G8" s="9">
        <v>34</v>
      </c>
      <c r="H8" s="9" t="s">
        <v>317</v>
      </c>
      <c r="I8" s="6"/>
      <c r="J8" s="6"/>
      <c r="K8" s="6"/>
    </row>
    <row r="9" spans="1:11" ht="35.75" customHeight="1">
      <c r="A9" s="9" t="s">
        <v>281</v>
      </c>
      <c r="B9" s="9" t="s">
        <v>333</v>
      </c>
      <c r="C9" s="25"/>
      <c r="D9" s="25"/>
      <c r="E9" s="9" t="s">
        <v>334</v>
      </c>
      <c r="F9" s="9" t="s">
        <v>335</v>
      </c>
      <c r="G9" s="9">
        <v>21</v>
      </c>
      <c r="H9" s="9" t="s">
        <v>317</v>
      </c>
      <c r="I9" s="6"/>
      <c r="J9" s="6"/>
      <c r="K9" s="6"/>
    </row>
    <row r="10" spans="1:11" ht="35.75" customHeight="1">
      <c r="A10" s="9" t="s">
        <v>294</v>
      </c>
      <c r="B10" s="9" t="s">
        <v>336</v>
      </c>
      <c r="C10" s="25"/>
      <c r="D10" s="25"/>
      <c r="E10" s="9" t="s">
        <v>337</v>
      </c>
      <c r="F10" s="9" t="s">
        <v>338</v>
      </c>
      <c r="G10" s="9">
        <v>31</v>
      </c>
      <c r="H10" s="9" t="s">
        <v>317</v>
      </c>
      <c r="I10" s="6"/>
      <c r="J10" s="6"/>
      <c r="K10" s="6"/>
    </row>
    <row r="11" spans="1:11" ht="35.75" customHeight="1">
      <c r="A11" s="6"/>
      <c r="B11" s="6"/>
      <c r="C11" s="26"/>
      <c r="D11" s="26"/>
      <c r="E11" s="6"/>
      <c r="F11" s="6"/>
      <c r="G11" s="6"/>
      <c r="H11" s="6"/>
      <c r="I11" s="6"/>
      <c r="J11" s="6"/>
      <c r="K11" s="6"/>
    </row>
    <row r="12" spans="1:11" ht="35.75" customHeight="1">
      <c r="A12" s="6"/>
      <c r="B12" s="6"/>
      <c r="C12" s="26"/>
      <c r="D12" s="26"/>
      <c r="E12" s="6"/>
      <c r="F12" s="6"/>
      <c r="G12" s="6"/>
      <c r="H12" s="6"/>
      <c r="I12" s="6"/>
      <c r="J12" s="6"/>
      <c r="K12" s="6"/>
    </row>
    <row r="13" spans="1:11" ht="35.75" customHeight="1">
      <c r="A13" s="6"/>
      <c r="B13" s="6"/>
      <c r="C13" s="26"/>
      <c r="D13" s="26"/>
      <c r="E13" s="6"/>
      <c r="F13" s="6"/>
      <c r="G13" s="6"/>
      <c r="H13" s="6"/>
      <c r="I13" s="6"/>
      <c r="J13" s="6"/>
      <c r="K13" s="6"/>
    </row>
    <row r="14" spans="1:11" ht="35.75" customHeight="1">
      <c r="A14" s="6"/>
      <c r="B14" s="6"/>
      <c r="C14" s="26"/>
      <c r="D14" s="26"/>
      <c r="E14" s="6"/>
      <c r="F14" s="6"/>
      <c r="G14" s="6"/>
      <c r="H14" s="6"/>
      <c r="I14" s="6"/>
      <c r="J14" s="6"/>
      <c r="K14" s="6"/>
    </row>
    <row r="15" spans="1:11" ht="35.75" customHeight="1">
      <c r="A15" s="6"/>
      <c r="B15" s="6"/>
      <c r="C15" s="26"/>
      <c r="D15" s="26"/>
      <c r="E15" s="6"/>
      <c r="F15" s="6"/>
      <c r="G15" s="6"/>
      <c r="H15" s="6"/>
      <c r="I15" s="6"/>
      <c r="J15" s="6"/>
      <c r="K15" s="6"/>
    </row>
    <row r="16" spans="1:11" ht="35.75" customHeight="1">
      <c r="A16" s="6"/>
      <c r="B16" s="6"/>
      <c r="C16" s="26"/>
      <c r="D16" s="26"/>
      <c r="E16" s="6"/>
      <c r="F16" s="6"/>
      <c r="G16" s="6"/>
      <c r="H16" s="6"/>
      <c r="I16" s="6"/>
      <c r="J16" s="6"/>
      <c r="K16" s="6"/>
    </row>
    <row r="17" spans="1:11" ht="35.75" customHeight="1">
      <c r="A17" s="6"/>
      <c r="B17" s="6"/>
      <c r="C17" s="26"/>
      <c r="D17" s="26"/>
      <c r="E17" s="6"/>
      <c r="F17" s="6"/>
      <c r="G17" s="6"/>
      <c r="H17" s="6"/>
      <c r="I17" s="6"/>
      <c r="J17" s="6"/>
      <c r="K17" s="6"/>
    </row>
    <row r="18" spans="1:11" ht="35.75" customHeight="1">
      <c r="A18" s="6"/>
      <c r="B18" s="6"/>
      <c r="C18" s="26"/>
      <c r="D18" s="26"/>
      <c r="E18" s="6"/>
      <c r="F18" s="6"/>
      <c r="G18" s="6"/>
      <c r="H18" s="6"/>
      <c r="I18" s="6"/>
      <c r="J18" s="6"/>
      <c r="K18" s="6"/>
    </row>
    <row r="19" spans="1:11" ht="35.75" customHeight="1">
      <c r="A19" s="6"/>
      <c r="B19" s="6"/>
      <c r="C19" s="26"/>
      <c r="D19" s="26"/>
      <c r="E19" s="6"/>
      <c r="F19" s="6"/>
      <c r="G19" s="6"/>
      <c r="H19" s="6"/>
      <c r="I19" s="6"/>
      <c r="J19" s="6"/>
      <c r="K19" s="6"/>
    </row>
    <row r="20" spans="1:11" ht="35.75" customHeight="1">
      <c r="A20" s="6"/>
      <c r="B20" s="6"/>
      <c r="C20" s="26"/>
      <c r="D20" s="26"/>
      <c r="E20" s="6"/>
      <c r="F20" s="6"/>
      <c r="G20" s="6"/>
      <c r="H20" s="6"/>
      <c r="I20" s="6"/>
      <c r="J20" s="6"/>
      <c r="K20" s="6"/>
    </row>
    <row r="21" spans="1:1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spans="1:1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spans="1:1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spans="1:1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spans="1:1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spans="1:1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spans="1:1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spans="1:1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spans="1:1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spans="1:1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spans="1:1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spans="1:1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spans="1:1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spans="1:1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spans="1:1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spans="1:1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spans="1:1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spans="1:1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spans="1:1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spans="1:1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spans="1:1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spans="1:1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spans="1:1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spans="1:1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spans="1:1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spans="1:1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spans="1:1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spans="1:1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spans="1:1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spans="1:1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spans="1:1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spans="1:1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spans="1:1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spans="1:1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spans="1:1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spans="1:1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spans="1:1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spans="1:1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spans="1:1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spans="1:1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spans="1:1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spans="1:1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spans="1:1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spans="1:1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spans="1:1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spans="1: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spans="1:1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spans="1:1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spans="1:1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spans="1:1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spans="1:1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spans="1:1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spans="1:1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spans="1:1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spans="1:1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spans="1:1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spans="1:1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spans="1:1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spans="1:1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spans="1:1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spans="1:1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spans="1:1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spans="1:1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spans="1:1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spans="1:1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spans="1:1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spans="1:1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spans="1:1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1:1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spans="1:1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spans="1:1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spans="1:1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spans="1:1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spans="1:1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spans="1:1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spans="1:1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spans="1:1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spans="1:1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spans="1:1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spans="1:1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spans="1:1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spans="1:1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spans="1:1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spans="1:1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spans="1:1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spans="1:1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spans="1:1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1:1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spans="1:1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spans="1:1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spans="1:1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spans="1:1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1:1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spans="1:1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spans="1:1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1:1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spans="1:1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spans="1:1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spans="1:1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spans="1:1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spans="1:1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spans="1:1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spans="1:1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spans="1:1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spans="1:1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spans="1:1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spans="1:1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spans="1:1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spans="1:1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spans="1:1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spans="1:1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spans="1:1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1:1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spans="1:1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spans="1:1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spans="1:1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1:1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spans="1:1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spans="1:1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spans="1:1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spans="1:1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1:1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spans="1:1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1:1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spans="1:1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spans="1:1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1:1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1:1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spans="1:1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spans="1:1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1:1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</sheetData>
  <dataValidations count="1">
    <dataValidation type="list" allowBlank="1" sqref="H2:H20" xr:uid="{00000000-0002-0000-0300-000000000000}">
      <formula1>"Not Started,Planned,In Progress,Done,At Risk,Moved"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N480"/>
  <sheetViews>
    <sheetView zoomScale="140" zoomScaleNormal="140" workbookViewId="0">
      <pane ySplit="1" topLeftCell="A36" activePane="bottomLeft" state="frozen"/>
      <selection pane="bottomLeft" activeCell="K47" sqref="K47"/>
    </sheetView>
  </sheetViews>
  <sheetFormatPr baseColWidth="10" defaultColWidth="8.83203125" defaultRowHeight="15"/>
  <cols>
    <col min="1" max="1" width="8.1640625" customWidth="1"/>
    <col min="2" max="2" width="7.33203125" customWidth="1"/>
    <col min="3" max="3" width="35.5" customWidth="1"/>
    <col min="4" max="4" width="8.83203125" customWidth="1"/>
    <col min="5" max="5" width="9" customWidth="1"/>
    <col min="6" max="6" width="11.6640625" customWidth="1"/>
    <col min="7" max="7" width="15.83203125" customWidth="1"/>
    <col min="8" max="8" width="11.33203125" customWidth="1"/>
    <col min="9" max="9" width="3.5" style="31" customWidth="1"/>
    <col min="10" max="10" width="9.5" customWidth="1"/>
    <col min="11" max="11" width="40.6640625" customWidth="1"/>
    <col min="12" max="12" width="11" customWidth="1"/>
    <col min="13" max="13" width="14.5" customWidth="1"/>
    <col min="14" max="14" width="13.1640625" customWidth="1"/>
  </cols>
  <sheetData>
    <row r="1" spans="1:14" ht="30" customHeight="1">
      <c r="A1" s="4" t="s">
        <v>160</v>
      </c>
      <c r="B1" s="4" t="s">
        <v>136</v>
      </c>
      <c r="C1" s="4" t="s">
        <v>339</v>
      </c>
      <c r="D1" s="4" t="s">
        <v>340</v>
      </c>
      <c r="E1" s="4" t="s">
        <v>164</v>
      </c>
      <c r="F1" s="4" t="s">
        <v>24</v>
      </c>
      <c r="G1" s="4" t="s">
        <v>863</v>
      </c>
      <c r="H1" s="4" t="s">
        <v>166</v>
      </c>
      <c r="I1" s="4" t="s">
        <v>341</v>
      </c>
      <c r="J1" s="4" t="s">
        <v>342</v>
      </c>
      <c r="K1" s="4" t="s">
        <v>343</v>
      </c>
      <c r="L1" s="34" t="s">
        <v>344</v>
      </c>
      <c r="M1" s="34" t="s">
        <v>864</v>
      </c>
      <c r="N1" s="34" t="s">
        <v>846</v>
      </c>
    </row>
    <row r="2" spans="1:14" ht="20" hidden="1" customHeight="1">
      <c r="A2" s="9" t="s">
        <v>345</v>
      </c>
      <c r="B2" s="9" t="s">
        <v>175</v>
      </c>
      <c r="C2" s="9" t="s">
        <v>346</v>
      </c>
      <c r="D2" s="9" t="s">
        <v>347</v>
      </c>
      <c r="E2" s="9" t="s">
        <v>174</v>
      </c>
      <c r="F2" s="9" t="s">
        <v>78</v>
      </c>
      <c r="G2" s="9" t="s">
        <v>862</v>
      </c>
      <c r="H2" s="9" t="s">
        <v>176</v>
      </c>
      <c r="I2" s="29">
        <v>3</v>
      </c>
      <c r="J2" s="9"/>
      <c r="K2" s="9" t="s">
        <v>348</v>
      </c>
      <c r="L2" s="9" t="s">
        <v>170</v>
      </c>
      <c r="M2" s="42"/>
      <c r="N2" s="36" t="s">
        <v>847</v>
      </c>
    </row>
    <row r="3" spans="1:14" ht="30" hidden="1">
      <c r="A3" s="9" t="s">
        <v>475</v>
      </c>
      <c r="B3" s="9" t="s">
        <v>175</v>
      </c>
      <c r="C3" s="9" t="s">
        <v>476</v>
      </c>
      <c r="D3" s="9" t="s">
        <v>347</v>
      </c>
      <c r="E3" s="9" t="s">
        <v>174</v>
      </c>
      <c r="F3" s="9" t="s">
        <v>78</v>
      </c>
      <c r="G3" s="9" t="s">
        <v>862</v>
      </c>
      <c r="H3" s="9" t="s">
        <v>176</v>
      </c>
      <c r="I3" s="35">
        <v>2</v>
      </c>
      <c r="J3" s="9"/>
      <c r="K3" s="9" t="s">
        <v>477</v>
      </c>
      <c r="L3" s="9" t="s">
        <v>170</v>
      </c>
      <c r="M3" s="42"/>
      <c r="N3" s="36" t="s">
        <v>847</v>
      </c>
    </row>
    <row r="4" spans="1:14" ht="20" hidden="1" customHeight="1">
      <c r="A4" s="9" t="s">
        <v>478</v>
      </c>
      <c r="B4" s="9" t="s">
        <v>175</v>
      </c>
      <c r="C4" s="9" t="s">
        <v>479</v>
      </c>
      <c r="D4" s="9" t="s">
        <v>347</v>
      </c>
      <c r="E4" s="9" t="s">
        <v>174</v>
      </c>
      <c r="F4" s="9" t="s">
        <v>78</v>
      </c>
      <c r="G4" s="9" t="s">
        <v>862</v>
      </c>
      <c r="H4" s="9" t="s">
        <v>176</v>
      </c>
      <c r="I4" s="35">
        <v>1</v>
      </c>
      <c r="J4" s="9"/>
      <c r="K4" s="9" t="s">
        <v>480</v>
      </c>
      <c r="L4" s="9" t="s">
        <v>170</v>
      </c>
      <c r="M4" s="42"/>
      <c r="N4" s="36" t="s">
        <v>847</v>
      </c>
    </row>
    <row r="5" spans="1:14" ht="20" hidden="1" customHeight="1">
      <c r="A5" s="9" t="s">
        <v>481</v>
      </c>
      <c r="B5" s="9" t="s">
        <v>175</v>
      </c>
      <c r="C5" s="9" t="s">
        <v>482</v>
      </c>
      <c r="D5" s="9" t="s">
        <v>347</v>
      </c>
      <c r="E5" s="9" t="s">
        <v>174</v>
      </c>
      <c r="F5" s="9" t="s">
        <v>78</v>
      </c>
      <c r="G5" s="9" t="s">
        <v>862</v>
      </c>
      <c r="H5" s="9" t="s">
        <v>176</v>
      </c>
      <c r="I5" s="35">
        <v>2</v>
      </c>
      <c r="J5" s="9"/>
      <c r="K5" s="9" t="s">
        <v>483</v>
      </c>
      <c r="L5" s="9" t="s">
        <v>170</v>
      </c>
      <c r="M5" s="42"/>
      <c r="N5" s="36" t="s">
        <v>847</v>
      </c>
    </row>
    <row r="6" spans="1:14" ht="32" hidden="1" customHeight="1">
      <c r="A6" s="9" t="s">
        <v>349</v>
      </c>
      <c r="B6" s="9" t="s">
        <v>175</v>
      </c>
      <c r="C6" s="9" t="s">
        <v>350</v>
      </c>
      <c r="D6" s="9" t="s">
        <v>351</v>
      </c>
      <c r="E6" s="9" t="s">
        <v>174</v>
      </c>
      <c r="F6" s="9" t="s">
        <v>78</v>
      </c>
      <c r="G6" s="9" t="s">
        <v>862</v>
      </c>
      <c r="H6" s="9" t="s">
        <v>176</v>
      </c>
      <c r="I6" s="29">
        <v>3</v>
      </c>
      <c r="J6" s="9"/>
      <c r="K6" s="9" t="s">
        <v>352</v>
      </c>
      <c r="L6" s="9" t="s">
        <v>178</v>
      </c>
      <c r="M6" s="42"/>
      <c r="N6" s="36" t="s">
        <v>848</v>
      </c>
    </row>
    <row r="7" spans="1:14" ht="20" hidden="1" customHeight="1">
      <c r="A7" s="9" t="s">
        <v>484</v>
      </c>
      <c r="B7" s="9" t="s">
        <v>175</v>
      </c>
      <c r="C7" s="9" t="s">
        <v>485</v>
      </c>
      <c r="D7" s="9" t="s">
        <v>351</v>
      </c>
      <c r="E7" s="9" t="s">
        <v>174</v>
      </c>
      <c r="F7" s="9" t="s">
        <v>78</v>
      </c>
      <c r="G7" s="9" t="s">
        <v>862</v>
      </c>
      <c r="H7" s="9" t="s">
        <v>176</v>
      </c>
      <c r="I7" s="35">
        <v>2</v>
      </c>
      <c r="J7" s="9"/>
      <c r="K7" s="9" t="s">
        <v>486</v>
      </c>
      <c r="L7" s="9" t="s">
        <v>178</v>
      </c>
      <c r="M7" s="42"/>
      <c r="N7" s="36" t="s">
        <v>849</v>
      </c>
    </row>
    <row r="8" spans="1:14" ht="20" hidden="1" customHeight="1">
      <c r="A8" s="9" t="s">
        <v>487</v>
      </c>
      <c r="B8" s="9" t="s">
        <v>175</v>
      </c>
      <c r="C8" s="9" t="s">
        <v>488</v>
      </c>
      <c r="D8" s="9" t="s">
        <v>351</v>
      </c>
      <c r="E8" s="9" t="s">
        <v>174</v>
      </c>
      <c r="F8" s="9" t="s">
        <v>78</v>
      </c>
      <c r="G8" s="9" t="s">
        <v>862</v>
      </c>
      <c r="H8" s="9" t="s">
        <v>176</v>
      </c>
      <c r="I8" s="35">
        <v>1</v>
      </c>
      <c r="J8" s="9"/>
      <c r="K8" s="9" t="s">
        <v>489</v>
      </c>
      <c r="L8" s="9" t="s">
        <v>178</v>
      </c>
      <c r="M8" s="42"/>
      <c r="N8" s="36" t="s">
        <v>850</v>
      </c>
    </row>
    <row r="9" spans="1:14" ht="20" hidden="1" customHeight="1">
      <c r="A9" s="9" t="s">
        <v>490</v>
      </c>
      <c r="B9" s="9" t="s">
        <v>175</v>
      </c>
      <c r="C9" s="9" t="s">
        <v>491</v>
      </c>
      <c r="D9" s="9" t="s">
        <v>351</v>
      </c>
      <c r="E9" s="9" t="s">
        <v>174</v>
      </c>
      <c r="F9" s="9" t="s">
        <v>78</v>
      </c>
      <c r="G9" s="9" t="s">
        <v>862</v>
      </c>
      <c r="H9" s="9" t="s">
        <v>176</v>
      </c>
      <c r="I9" s="35">
        <v>2</v>
      </c>
      <c r="J9" s="9"/>
      <c r="K9" s="9" t="s">
        <v>492</v>
      </c>
      <c r="L9" s="9" t="s">
        <v>178</v>
      </c>
      <c r="M9" s="42"/>
      <c r="N9" s="36" t="s">
        <v>851</v>
      </c>
    </row>
    <row r="10" spans="1:14" ht="20" hidden="1" customHeight="1">
      <c r="A10" s="9" t="s">
        <v>353</v>
      </c>
      <c r="B10" s="9" t="s">
        <v>175</v>
      </c>
      <c r="C10" s="9" t="s">
        <v>354</v>
      </c>
      <c r="D10" s="9" t="s">
        <v>355</v>
      </c>
      <c r="E10" s="9" t="s">
        <v>174</v>
      </c>
      <c r="F10" s="9" t="s">
        <v>78</v>
      </c>
      <c r="G10" s="9" t="s">
        <v>862</v>
      </c>
      <c r="H10" s="9" t="s">
        <v>176</v>
      </c>
      <c r="I10" s="29">
        <v>5</v>
      </c>
      <c r="J10" s="9"/>
      <c r="K10" s="9" t="s">
        <v>356</v>
      </c>
      <c r="L10" s="9" t="s">
        <v>182</v>
      </c>
      <c r="M10" s="42"/>
      <c r="N10" s="37" t="s">
        <v>852</v>
      </c>
    </row>
    <row r="11" spans="1:14" ht="20" hidden="1" customHeight="1">
      <c r="A11" s="9" t="s">
        <v>493</v>
      </c>
      <c r="B11" s="9" t="s">
        <v>175</v>
      </c>
      <c r="C11" s="9" t="s">
        <v>494</v>
      </c>
      <c r="D11" s="9" t="s">
        <v>355</v>
      </c>
      <c r="E11" s="9" t="s">
        <v>174</v>
      </c>
      <c r="F11" s="9" t="s">
        <v>78</v>
      </c>
      <c r="G11" s="9" t="s">
        <v>862</v>
      </c>
      <c r="H11" s="9" t="s">
        <v>176</v>
      </c>
      <c r="I11" s="35">
        <v>2</v>
      </c>
      <c r="J11" s="9"/>
      <c r="K11" s="9" t="s">
        <v>495</v>
      </c>
      <c r="L11" s="9" t="s">
        <v>182</v>
      </c>
      <c r="M11" s="42"/>
      <c r="N11" s="37" t="s">
        <v>852</v>
      </c>
    </row>
    <row r="12" spans="1:14" ht="32" hidden="1" customHeight="1">
      <c r="A12" s="9" t="s">
        <v>496</v>
      </c>
      <c r="B12" s="9" t="s">
        <v>175</v>
      </c>
      <c r="C12" s="9" t="s">
        <v>497</v>
      </c>
      <c r="D12" s="9" t="s">
        <v>355</v>
      </c>
      <c r="E12" s="9" t="s">
        <v>174</v>
      </c>
      <c r="F12" s="9" t="s">
        <v>78</v>
      </c>
      <c r="G12" s="9" t="s">
        <v>862</v>
      </c>
      <c r="H12" s="9" t="s">
        <v>176</v>
      </c>
      <c r="I12" s="35">
        <v>2</v>
      </c>
      <c r="J12" s="9"/>
      <c r="K12" s="9" t="s">
        <v>498</v>
      </c>
      <c r="L12" s="9" t="s">
        <v>182</v>
      </c>
      <c r="M12" s="42"/>
      <c r="N12" s="37" t="s">
        <v>852</v>
      </c>
    </row>
    <row r="13" spans="1:14" ht="20" hidden="1" customHeight="1">
      <c r="A13" s="9" t="s">
        <v>499</v>
      </c>
      <c r="B13" s="9" t="s">
        <v>175</v>
      </c>
      <c r="C13" s="9" t="s">
        <v>500</v>
      </c>
      <c r="D13" s="9" t="s">
        <v>378</v>
      </c>
      <c r="E13" s="9" t="s">
        <v>174</v>
      </c>
      <c r="F13" s="9" t="s">
        <v>78</v>
      </c>
      <c r="G13" s="9" t="s">
        <v>862</v>
      </c>
      <c r="H13" s="9" t="s">
        <v>302</v>
      </c>
      <c r="I13" s="35">
        <v>1</v>
      </c>
      <c r="J13" s="9"/>
      <c r="K13" s="9" t="s">
        <v>501</v>
      </c>
      <c r="L13" s="9" t="s">
        <v>182</v>
      </c>
      <c r="M13" s="42"/>
      <c r="N13" s="37" t="s">
        <v>852</v>
      </c>
    </row>
    <row r="14" spans="1:14" ht="20" hidden="1" customHeight="1">
      <c r="A14" s="9" t="s">
        <v>357</v>
      </c>
      <c r="B14" s="9" t="s">
        <v>175</v>
      </c>
      <c r="C14" s="9" t="s">
        <v>358</v>
      </c>
      <c r="D14" s="9" t="s">
        <v>359</v>
      </c>
      <c r="E14" s="9" t="s">
        <v>174</v>
      </c>
      <c r="F14" s="9" t="s">
        <v>78</v>
      </c>
      <c r="G14" s="9" t="s">
        <v>862</v>
      </c>
      <c r="H14" s="9" t="s">
        <v>176</v>
      </c>
      <c r="I14" s="29">
        <v>2</v>
      </c>
      <c r="J14" s="9"/>
      <c r="K14" s="9" t="s">
        <v>360</v>
      </c>
      <c r="L14" s="9" t="s">
        <v>186</v>
      </c>
      <c r="M14" s="42"/>
      <c r="N14" s="37" t="s">
        <v>853</v>
      </c>
    </row>
    <row r="15" spans="1:14" ht="20" hidden="1" customHeight="1">
      <c r="A15" s="9" t="s">
        <v>502</v>
      </c>
      <c r="B15" s="9" t="s">
        <v>175</v>
      </c>
      <c r="C15" s="9" t="s">
        <v>503</v>
      </c>
      <c r="D15" s="9" t="s">
        <v>359</v>
      </c>
      <c r="E15" s="9" t="s">
        <v>174</v>
      </c>
      <c r="F15" s="9" t="s">
        <v>78</v>
      </c>
      <c r="G15" s="9" t="s">
        <v>862</v>
      </c>
      <c r="H15" s="9" t="s">
        <v>176</v>
      </c>
      <c r="I15" s="35">
        <v>1</v>
      </c>
      <c r="J15" s="9"/>
      <c r="K15" s="9" t="s">
        <v>504</v>
      </c>
      <c r="L15" s="9" t="s">
        <v>186</v>
      </c>
      <c r="M15" s="42"/>
      <c r="N15" s="37" t="s">
        <v>854</v>
      </c>
    </row>
    <row r="16" spans="1:14" ht="33" hidden="1" customHeight="1">
      <c r="A16" s="9" t="s">
        <v>505</v>
      </c>
      <c r="B16" s="9" t="s">
        <v>175</v>
      </c>
      <c r="C16" s="9" t="s">
        <v>506</v>
      </c>
      <c r="D16" s="9" t="s">
        <v>359</v>
      </c>
      <c r="E16" s="9" t="s">
        <v>174</v>
      </c>
      <c r="F16" s="9" t="s">
        <v>78</v>
      </c>
      <c r="G16" s="9" t="s">
        <v>862</v>
      </c>
      <c r="H16" s="9" t="s">
        <v>176</v>
      </c>
      <c r="I16" s="35">
        <v>1</v>
      </c>
      <c r="J16" s="9"/>
      <c r="K16" s="9" t="s">
        <v>507</v>
      </c>
      <c r="L16" s="9" t="s">
        <v>186</v>
      </c>
      <c r="M16" s="42"/>
      <c r="N16" s="37" t="s">
        <v>853</v>
      </c>
    </row>
    <row r="17" spans="1:14" ht="20" hidden="1" customHeight="1">
      <c r="A17" s="9" t="s">
        <v>508</v>
      </c>
      <c r="B17" s="9" t="s">
        <v>175</v>
      </c>
      <c r="C17" s="9" t="s">
        <v>509</v>
      </c>
      <c r="D17" s="9" t="s">
        <v>359</v>
      </c>
      <c r="E17" s="9" t="s">
        <v>174</v>
      </c>
      <c r="F17" s="9" t="s">
        <v>78</v>
      </c>
      <c r="G17" s="9" t="s">
        <v>862</v>
      </c>
      <c r="H17" s="9" t="s">
        <v>176</v>
      </c>
      <c r="I17" s="35">
        <v>1</v>
      </c>
      <c r="J17" s="9"/>
      <c r="K17" s="9" t="s">
        <v>510</v>
      </c>
      <c r="L17" s="9" t="s">
        <v>186</v>
      </c>
      <c r="M17" s="42"/>
      <c r="N17" s="37" t="s">
        <v>853</v>
      </c>
    </row>
    <row r="18" spans="1:14" ht="20" hidden="1" customHeight="1">
      <c r="A18" s="9" t="s">
        <v>511</v>
      </c>
      <c r="B18" s="9" t="s">
        <v>192</v>
      </c>
      <c r="C18" s="9" t="s">
        <v>512</v>
      </c>
      <c r="D18" s="9" t="s">
        <v>355</v>
      </c>
      <c r="E18" s="9" t="s">
        <v>174</v>
      </c>
      <c r="F18" s="9" t="s">
        <v>78</v>
      </c>
      <c r="G18" s="9" t="s">
        <v>862</v>
      </c>
      <c r="H18" s="9" t="s">
        <v>176</v>
      </c>
      <c r="I18" s="35">
        <v>3</v>
      </c>
      <c r="J18" s="9"/>
      <c r="K18" s="9" t="s">
        <v>513</v>
      </c>
      <c r="L18" s="9" t="s">
        <v>189</v>
      </c>
      <c r="M18" s="42"/>
      <c r="N18" s="37" t="s">
        <v>855</v>
      </c>
    </row>
    <row r="19" spans="1:14" ht="20" hidden="1" customHeight="1">
      <c r="A19" s="9" t="s">
        <v>514</v>
      </c>
      <c r="B19" s="9" t="s">
        <v>192</v>
      </c>
      <c r="C19" s="9" t="s">
        <v>515</v>
      </c>
      <c r="D19" s="9" t="s">
        <v>355</v>
      </c>
      <c r="E19" s="9" t="s">
        <v>174</v>
      </c>
      <c r="F19" s="9" t="s">
        <v>78</v>
      </c>
      <c r="G19" s="9" t="s">
        <v>862</v>
      </c>
      <c r="H19" s="9" t="s">
        <v>176</v>
      </c>
      <c r="I19" s="35">
        <v>5</v>
      </c>
      <c r="J19" s="9"/>
      <c r="K19" s="9" t="s">
        <v>516</v>
      </c>
      <c r="L19" s="9" t="s">
        <v>189</v>
      </c>
      <c r="M19" s="42"/>
      <c r="N19" s="37" t="s">
        <v>856</v>
      </c>
    </row>
    <row r="20" spans="1:14" ht="20" hidden="1" customHeight="1">
      <c r="A20" s="9" t="s">
        <v>517</v>
      </c>
      <c r="B20" s="9" t="s">
        <v>192</v>
      </c>
      <c r="C20" s="9" t="s">
        <v>518</v>
      </c>
      <c r="D20" s="9" t="s">
        <v>355</v>
      </c>
      <c r="E20" s="9" t="s">
        <v>174</v>
      </c>
      <c r="F20" s="9" t="s">
        <v>78</v>
      </c>
      <c r="G20" s="9" t="s">
        <v>862</v>
      </c>
      <c r="H20" s="9" t="s">
        <v>176</v>
      </c>
      <c r="I20" s="35">
        <v>5</v>
      </c>
      <c r="J20" s="9"/>
      <c r="K20" s="9" t="s">
        <v>519</v>
      </c>
      <c r="L20" s="9" t="s">
        <v>189</v>
      </c>
      <c r="M20" s="42"/>
      <c r="N20" s="37" t="s">
        <v>857</v>
      </c>
    </row>
    <row r="21" spans="1:14" ht="20" hidden="1" customHeight="1">
      <c r="A21" s="9" t="s">
        <v>520</v>
      </c>
      <c r="B21" s="9" t="s">
        <v>192</v>
      </c>
      <c r="C21" s="9" t="s">
        <v>521</v>
      </c>
      <c r="D21" s="9" t="s">
        <v>347</v>
      </c>
      <c r="E21" s="9" t="s">
        <v>174</v>
      </c>
      <c r="F21" s="9" t="s">
        <v>78</v>
      </c>
      <c r="G21" s="9" t="s">
        <v>862</v>
      </c>
      <c r="H21" s="9" t="s">
        <v>176</v>
      </c>
      <c r="I21" s="35">
        <v>3</v>
      </c>
      <c r="J21" s="9"/>
      <c r="K21" s="9" t="s">
        <v>522</v>
      </c>
      <c r="L21" s="9" t="s">
        <v>189</v>
      </c>
      <c r="M21" s="42"/>
      <c r="N21" s="37" t="s">
        <v>858</v>
      </c>
    </row>
    <row r="22" spans="1:14" ht="32" hidden="1" customHeight="1">
      <c r="A22" s="9" t="s">
        <v>523</v>
      </c>
      <c r="B22" s="9" t="s">
        <v>192</v>
      </c>
      <c r="C22" s="9" t="s">
        <v>524</v>
      </c>
      <c r="D22" s="9" t="s">
        <v>355</v>
      </c>
      <c r="E22" s="9" t="s">
        <v>174</v>
      </c>
      <c r="F22" s="9" t="s">
        <v>78</v>
      </c>
      <c r="G22" s="9" t="s">
        <v>862</v>
      </c>
      <c r="H22" s="9" t="s">
        <v>176</v>
      </c>
      <c r="I22" s="35">
        <v>2</v>
      </c>
      <c r="J22" s="9"/>
      <c r="K22" s="9" t="s">
        <v>525</v>
      </c>
      <c r="L22" s="9" t="s">
        <v>194</v>
      </c>
      <c r="M22" s="42"/>
      <c r="N22" s="37" t="s">
        <v>859</v>
      </c>
    </row>
    <row r="23" spans="1:14" ht="34" hidden="1" customHeight="1">
      <c r="A23" s="9" t="s">
        <v>526</v>
      </c>
      <c r="B23" s="9" t="s">
        <v>192</v>
      </c>
      <c r="C23" s="9" t="s">
        <v>527</v>
      </c>
      <c r="D23" s="9" t="s">
        <v>355</v>
      </c>
      <c r="E23" s="9" t="s">
        <v>174</v>
      </c>
      <c r="F23" s="9" t="s">
        <v>78</v>
      </c>
      <c r="G23" s="9" t="s">
        <v>862</v>
      </c>
      <c r="H23" s="9" t="s">
        <v>176</v>
      </c>
      <c r="I23" s="35">
        <v>2</v>
      </c>
      <c r="J23" s="9"/>
      <c r="K23" s="9" t="s">
        <v>528</v>
      </c>
      <c r="L23" s="9" t="s">
        <v>194</v>
      </c>
      <c r="M23" s="42"/>
      <c r="N23" s="37" t="s">
        <v>859</v>
      </c>
    </row>
    <row r="24" spans="1:14" ht="20" hidden="1" customHeight="1">
      <c r="A24" s="9" t="s">
        <v>529</v>
      </c>
      <c r="B24" s="9" t="s">
        <v>192</v>
      </c>
      <c r="C24" s="9" t="s">
        <v>530</v>
      </c>
      <c r="D24" s="9" t="s">
        <v>355</v>
      </c>
      <c r="E24" s="9" t="s">
        <v>174</v>
      </c>
      <c r="F24" s="9" t="s">
        <v>78</v>
      </c>
      <c r="G24" s="9" t="s">
        <v>862</v>
      </c>
      <c r="H24" s="9" t="s">
        <v>176</v>
      </c>
      <c r="I24" s="35">
        <v>3</v>
      </c>
      <c r="J24" s="9"/>
      <c r="K24" s="9" t="s">
        <v>531</v>
      </c>
      <c r="L24" s="9" t="s">
        <v>194</v>
      </c>
      <c r="M24" s="42"/>
      <c r="N24" s="37" t="s">
        <v>859</v>
      </c>
    </row>
    <row r="25" spans="1:14" ht="30" hidden="1" customHeight="1">
      <c r="A25" s="9" t="s">
        <v>361</v>
      </c>
      <c r="B25" s="9" t="s">
        <v>192</v>
      </c>
      <c r="C25" s="9" t="s">
        <v>362</v>
      </c>
      <c r="D25" s="9" t="s">
        <v>347</v>
      </c>
      <c r="E25" s="9" t="s">
        <v>174</v>
      </c>
      <c r="F25" s="9" t="s">
        <v>78</v>
      </c>
      <c r="G25" s="9" t="s">
        <v>862</v>
      </c>
      <c r="H25" s="9" t="s">
        <v>176</v>
      </c>
      <c r="I25" s="29">
        <v>3</v>
      </c>
      <c r="J25" s="9"/>
      <c r="K25" s="9" t="s">
        <v>363</v>
      </c>
      <c r="L25" s="9" t="s">
        <v>197</v>
      </c>
      <c r="M25" s="42" t="s">
        <v>865</v>
      </c>
      <c r="N25" s="37" t="s">
        <v>860</v>
      </c>
    </row>
    <row r="26" spans="1:14" ht="32" hidden="1" customHeight="1">
      <c r="A26" s="9" t="s">
        <v>364</v>
      </c>
      <c r="B26" s="9" t="s">
        <v>192</v>
      </c>
      <c r="C26" s="9" t="s">
        <v>365</v>
      </c>
      <c r="D26" s="9" t="s">
        <v>347</v>
      </c>
      <c r="E26" s="9" t="s">
        <v>174</v>
      </c>
      <c r="F26" s="9" t="s">
        <v>78</v>
      </c>
      <c r="G26" s="9" t="s">
        <v>862</v>
      </c>
      <c r="H26" s="9" t="s">
        <v>176</v>
      </c>
      <c r="I26" s="29">
        <v>8</v>
      </c>
      <c r="J26" s="9"/>
      <c r="K26" s="9" t="s">
        <v>366</v>
      </c>
      <c r="L26" s="9" t="s">
        <v>197</v>
      </c>
      <c r="M26" s="42" t="s">
        <v>866</v>
      </c>
      <c r="N26" s="37" t="s">
        <v>869</v>
      </c>
    </row>
    <row r="27" spans="1:14" ht="20" hidden="1" customHeight="1">
      <c r="A27" s="9" t="s">
        <v>532</v>
      </c>
      <c r="B27" s="9" t="s">
        <v>192</v>
      </c>
      <c r="C27" s="9" t="s">
        <v>533</v>
      </c>
      <c r="D27" s="9" t="s">
        <v>347</v>
      </c>
      <c r="E27" s="9" t="s">
        <v>174</v>
      </c>
      <c r="F27" s="9" t="s">
        <v>78</v>
      </c>
      <c r="G27" s="9" t="s">
        <v>862</v>
      </c>
      <c r="H27" s="9" t="s">
        <v>176</v>
      </c>
      <c r="I27" s="35">
        <v>2</v>
      </c>
      <c r="J27" s="9"/>
      <c r="K27" s="9" t="s">
        <v>534</v>
      </c>
      <c r="L27" s="9" t="s">
        <v>197</v>
      </c>
      <c r="M27" s="42"/>
      <c r="N27" s="37" t="s">
        <v>860</v>
      </c>
    </row>
    <row r="28" spans="1:14" ht="20" hidden="1" customHeight="1">
      <c r="A28" s="9" t="s">
        <v>535</v>
      </c>
      <c r="B28" s="9" t="s">
        <v>192</v>
      </c>
      <c r="C28" s="9" t="s">
        <v>536</v>
      </c>
      <c r="D28" s="9" t="s">
        <v>347</v>
      </c>
      <c r="E28" s="9" t="s">
        <v>174</v>
      </c>
      <c r="F28" s="9" t="s">
        <v>78</v>
      </c>
      <c r="G28" s="9" t="s">
        <v>862</v>
      </c>
      <c r="H28" s="9" t="s">
        <v>176</v>
      </c>
      <c r="I28" s="35">
        <v>3</v>
      </c>
      <c r="J28" s="9"/>
      <c r="K28" s="9" t="s">
        <v>537</v>
      </c>
      <c r="L28" s="9" t="s">
        <v>197</v>
      </c>
      <c r="M28" s="42"/>
      <c r="N28" s="37" t="s">
        <v>867</v>
      </c>
    </row>
    <row r="29" spans="1:14" ht="20" hidden="1" customHeight="1">
      <c r="A29" s="9" t="s">
        <v>538</v>
      </c>
      <c r="B29" s="9" t="s">
        <v>192</v>
      </c>
      <c r="C29" s="9" t="s">
        <v>539</v>
      </c>
      <c r="D29" s="9" t="s">
        <v>347</v>
      </c>
      <c r="E29" s="9" t="s">
        <v>174</v>
      </c>
      <c r="F29" s="9" t="s">
        <v>78</v>
      </c>
      <c r="G29" s="9" t="s">
        <v>862</v>
      </c>
      <c r="H29" s="9" t="s">
        <v>176</v>
      </c>
      <c r="I29" s="35">
        <v>3</v>
      </c>
      <c r="J29" s="9"/>
      <c r="K29" s="9" t="s">
        <v>540</v>
      </c>
      <c r="L29" s="9" t="s">
        <v>197</v>
      </c>
      <c r="M29" s="42"/>
      <c r="N29" s="37" t="s">
        <v>868</v>
      </c>
    </row>
    <row r="30" spans="1:14" ht="20" hidden="1" customHeight="1">
      <c r="A30" s="9" t="s">
        <v>541</v>
      </c>
      <c r="B30" s="9" t="s">
        <v>192</v>
      </c>
      <c r="C30" s="9" t="s">
        <v>542</v>
      </c>
      <c r="D30" s="9" t="s">
        <v>347</v>
      </c>
      <c r="E30" s="9" t="s">
        <v>174</v>
      </c>
      <c r="F30" s="9" t="s">
        <v>78</v>
      </c>
      <c r="G30" s="9" t="s">
        <v>862</v>
      </c>
      <c r="H30" s="9" t="s">
        <v>176</v>
      </c>
      <c r="I30" s="35">
        <v>2</v>
      </c>
      <c r="J30" s="9"/>
      <c r="K30" s="9" t="s">
        <v>543</v>
      </c>
      <c r="L30" s="9" t="s">
        <v>197</v>
      </c>
      <c r="M30" s="42"/>
      <c r="N30" s="37" t="s">
        <v>870</v>
      </c>
    </row>
    <row r="31" spans="1:14" ht="20" hidden="1" customHeight="1">
      <c r="A31" s="9" t="s">
        <v>367</v>
      </c>
      <c r="B31" s="9" t="s">
        <v>192</v>
      </c>
      <c r="C31" s="9" t="s">
        <v>368</v>
      </c>
      <c r="D31" s="9" t="s">
        <v>351</v>
      </c>
      <c r="E31" s="9" t="s">
        <v>174</v>
      </c>
      <c r="F31" s="9" t="s">
        <v>78</v>
      </c>
      <c r="G31" s="9" t="s">
        <v>862</v>
      </c>
      <c r="H31" s="9" t="s">
        <v>176</v>
      </c>
      <c r="I31" s="29">
        <v>8</v>
      </c>
      <c r="J31" s="9"/>
      <c r="K31" s="9" t="s">
        <v>369</v>
      </c>
      <c r="L31" s="9" t="s">
        <v>200</v>
      </c>
      <c r="M31" s="42"/>
      <c r="N31" s="37" t="s">
        <v>871</v>
      </c>
    </row>
    <row r="32" spans="1:14" ht="20" hidden="1" customHeight="1">
      <c r="A32" s="9" t="s">
        <v>544</v>
      </c>
      <c r="B32" s="9" t="s">
        <v>192</v>
      </c>
      <c r="C32" s="9" t="s">
        <v>545</v>
      </c>
      <c r="D32" s="9" t="s">
        <v>351</v>
      </c>
      <c r="E32" s="9" t="s">
        <v>174</v>
      </c>
      <c r="F32" s="9" t="s">
        <v>78</v>
      </c>
      <c r="G32" s="9" t="s">
        <v>862</v>
      </c>
      <c r="H32" s="9" t="s">
        <v>176</v>
      </c>
      <c r="I32" s="35">
        <v>3</v>
      </c>
      <c r="J32" s="9"/>
      <c r="K32" s="9" t="s">
        <v>546</v>
      </c>
      <c r="L32" s="9" t="s">
        <v>200</v>
      </c>
      <c r="M32" s="42"/>
      <c r="N32" s="37" t="s">
        <v>872</v>
      </c>
    </row>
    <row r="33" spans="1:14" ht="20" hidden="1" customHeight="1">
      <c r="A33" s="9" t="s">
        <v>547</v>
      </c>
      <c r="B33" s="9" t="s">
        <v>192</v>
      </c>
      <c r="C33" s="9" t="s">
        <v>548</v>
      </c>
      <c r="D33" s="9" t="s">
        <v>351</v>
      </c>
      <c r="E33" s="9" t="s">
        <v>174</v>
      </c>
      <c r="F33" s="9" t="s">
        <v>78</v>
      </c>
      <c r="G33" s="9" t="s">
        <v>862</v>
      </c>
      <c r="H33" s="9" t="s">
        <v>176</v>
      </c>
      <c r="I33" s="35">
        <v>3</v>
      </c>
      <c r="J33" s="9"/>
      <c r="K33" s="9" t="s">
        <v>549</v>
      </c>
      <c r="L33" s="9" t="s">
        <v>200</v>
      </c>
      <c r="M33" s="42"/>
      <c r="N33" s="37" t="s">
        <v>873</v>
      </c>
    </row>
    <row r="34" spans="1:14" ht="20" hidden="1" customHeight="1">
      <c r="A34" s="9" t="s">
        <v>550</v>
      </c>
      <c r="B34" s="9" t="s">
        <v>192</v>
      </c>
      <c r="C34" s="9" t="s">
        <v>551</v>
      </c>
      <c r="D34" s="9" t="s">
        <v>351</v>
      </c>
      <c r="E34" s="9" t="s">
        <v>174</v>
      </c>
      <c r="F34" s="9" t="s">
        <v>78</v>
      </c>
      <c r="G34" s="9" t="s">
        <v>862</v>
      </c>
      <c r="H34" s="9" t="s">
        <v>176</v>
      </c>
      <c r="I34" s="35">
        <v>3</v>
      </c>
      <c r="J34" s="9"/>
      <c r="K34" s="9" t="s">
        <v>552</v>
      </c>
      <c r="L34" s="9" t="s">
        <v>200</v>
      </c>
      <c r="M34" s="42"/>
      <c r="N34" s="37" t="s">
        <v>874</v>
      </c>
    </row>
    <row r="35" spans="1:14" ht="20" hidden="1" customHeight="1">
      <c r="A35" s="9" t="s">
        <v>553</v>
      </c>
      <c r="B35" s="9" t="s">
        <v>192</v>
      </c>
      <c r="C35" s="9" t="s">
        <v>554</v>
      </c>
      <c r="D35" s="9" t="s">
        <v>351</v>
      </c>
      <c r="E35" s="9" t="s">
        <v>174</v>
      </c>
      <c r="F35" s="9" t="s">
        <v>78</v>
      </c>
      <c r="G35" s="9" t="s">
        <v>862</v>
      </c>
      <c r="H35" s="9" t="s">
        <v>176</v>
      </c>
      <c r="I35" s="35">
        <v>2</v>
      </c>
      <c r="J35" s="9"/>
      <c r="K35" s="9" t="s">
        <v>555</v>
      </c>
      <c r="L35" s="9" t="s">
        <v>200</v>
      </c>
      <c r="M35" s="42"/>
      <c r="N35" s="37" t="s">
        <v>875</v>
      </c>
    </row>
    <row r="36" spans="1:14" ht="20" customHeight="1">
      <c r="A36" s="9" t="s">
        <v>556</v>
      </c>
      <c r="B36" s="9" t="s">
        <v>207</v>
      </c>
      <c r="C36" s="9" t="s">
        <v>557</v>
      </c>
      <c r="D36" s="9" t="s">
        <v>355</v>
      </c>
      <c r="E36" s="9" t="s">
        <v>174</v>
      </c>
      <c r="F36" s="9" t="s">
        <v>53</v>
      </c>
      <c r="G36" s="9"/>
      <c r="H36" s="9" t="s">
        <v>176</v>
      </c>
      <c r="I36" s="35">
        <v>3</v>
      </c>
      <c r="J36" s="9"/>
      <c r="K36" s="9" t="s">
        <v>558</v>
      </c>
      <c r="L36" s="9" t="s">
        <v>203</v>
      </c>
      <c r="M36" s="42"/>
    </row>
    <row r="37" spans="1:14" ht="20" customHeight="1">
      <c r="A37" s="9" t="s">
        <v>559</v>
      </c>
      <c r="B37" s="9" t="s">
        <v>207</v>
      </c>
      <c r="C37" s="9" t="s">
        <v>560</v>
      </c>
      <c r="D37" s="9" t="s">
        <v>347</v>
      </c>
      <c r="E37" s="9" t="s">
        <v>174</v>
      </c>
      <c r="F37" s="9" t="s">
        <v>53</v>
      </c>
      <c r="G37" s="9"/>
      <c r="H37" s="9" t="s">
        <v>176</v>
      </c>
      <c r="I37" s="35">
        <v>5</v>
      </c>
      <c r="J37" s="9"/>
      <c r="K37" s="9" t="s">
        <v>561</v>
      </c>
      <c r="L37" s="9" t="s">
        <v>203</v>
      </c>
      <c r="M37" s="42"/>
    </row>
    <row r="38" spans="1:14" ht="33" customHeight="1">
      <c r="A38" s="9" t="s">
        <v>562</v>
      </c>
      <c r="B38" s="9" t="s">
        <v>207</v>
      </c>
      <c r="C38" s="9" t="s">
        <v>563</v>
      </c>
      <c r="D38" s="9" t="s">
        <v>347</v>
      </c>
      <c r="E38" s="9" t="s">
        <v>174</v>
      </c>
      <c r="F38" s="9" t="s">
        <v>53</v>
      </c>
      <c r="G38" s="9"/>
      <c r="H38" s="9" t="s">
        <v>176</v>
      </c>
      <c r="I38" s="35">
        <v>3</v>
      </c>
      <c r="J38" s="9"/>
      <c r="K38" s="9" t="s">
        <v>564</v>
      </c>
      <c r="L38" s="9" t="s">
        <v>203</v>
      </c>
      <c r="M38" s="42"/>
    </row>
    <row r="39" spans="1:14" ht="20" customHeight="1">
      <c r="A39" s="9" t="s">
        <v>565</v>
      </c>
      <c r="B39" s="9" t="s">
        <v>207</v>
      </c>
      <c r="C39" s="9" t="s">
        <v>566</v>
      </c>
      <c r="D39" s="9" t="s">
        <v>347</v>
      </c>
      <c r="E39" s="9" t="s">
        <v>174</v>
      </c>
      <c r="F39" s="9" t="s">
        <v>53</v>
      </c>
      <c r="G39" s="9"/>
      <c r="H39" s="9" t="s">
        <v>176</v>
      </c>
      <c r="I39" s="35">
        <v>2</v>
      </c>
      <c r="J39" s="9"/>
      <c r="K39" s="9" t="s">
        <v>567</v>
      </c>
      <c r="L39" s="9" t="s">
        <v>203</v>
      </c>
      <c r="M39" s="42"/>
    </row>
    <row r="40" spans="1:14" ht="20" customHeight="1">
      <c r="A40" s="9" t="s">
        <v>370</v>
      </c>
      <c r="B40" s="9" t="s">
        <v>207</v>
      </c>
      <c r="C40" s="9" t="s">
        <v>371</v>
      </c>
      <c r="D40" s="9" t="s">
        <v>347</v>
      </c>
      <c r="E40" s="9" t="s">
        <v>174</v>
      </c>
      <c r="F40" s="9" t="s">
        <v>53</v>
      </c>
      <c r="G40" s="9"/>
      <c r="H40" s="9" t="s">
        <v>176</v>
      </c>
      <c r="I40" s="29">
        <v>8</v>
      </c>
      <c r="J40" s="9"/>
      <c r="K40" s="9" t="s">
        <v>372</v>
      </c>
      <c r="L40" s="9" t="s">
        <v>209</v>
      </c>
      <c r="M40" s="42"/>
    </row>
    <row r="41" spans="1:14" ht="20" customHeight="1">
      <c r="A41" s="9" t="s">
        <v>373</v>
      </c>
      <c r="B41" s="9" t="s">
        <v>207</v>
      </c>
      <c r="C41" s="9" t="s">
        <v>374</v>
      </c>
      <c r="D41" s="9" t="s">
        <v>351</v>
      </c>
      <c r="E41" s="9" t="s">
        <v>174</v>
      </c>
      <c r="F41" s="9" t="s">
        <v>53</v>
      </c>
      <c r="G41" s="9"/>
      <c r="H41" s="9" t="s">
        <v>176</v>
      </c>
      <c r="I41" s="29">
        <v>5</v>
      </c>
      <c r="J41" s="9"/>
      <c r="K41" s="9" t="s">
        <v>375</v>
      </c>
      <c r="L41" s="9" t="s">
        <v>209</v>
      </c>
      <c r="M41" s="42"/>
    </row>
    <row r="42" spans="1:14" ht="20" customHeight="1">
      <c r="A42" s="9" t="s">
        <v>568</v>
      </c>
      <c r="B42" s="9" t="s">
        <v>207</v>
      </c>
      <c r="C42" s="9" t="s">
        <v>569</v>
      </c>
      <c r="D42" s="9" t="s">
        <v>355</v>
      </c>
      <c r="E42" s="9" t="s">
        <v>174</v>
      </c>
      <c r="F42" s="9" t="s">
        <v>53</v>
      </c>
      <c r="G42" s="9"/>
      <c r="H42" s="9" t="s">
        <v>176</v>
      </c>
      <c r="I42" s="35">
        <v>3</v>
      </c>
      <c r="J42" s="9"/>
      <c r="K42" s="9" t="s">
        <v>570</v>
      </c>
      <c r="L42" s="9" t="s">
        <v>209</v>
      </c>
      <c r="M42" s="42"/>
    </row>
    <row r="43" spans="1:14" ht="20" customHeight="1">
      <c r="A43" s="9" t="s">
        <v>571</v>
      </c>
      <c r="B43" s="9" t="s">
        <v>207</v>
      </c>
      <c r="C43" s="9" t="s">
        <v>572</v>
      </c>
      <c r="D43" s="9" t="s">
        <v>347</v>
      </c>
      <c r="E43" s="9" t="s">
        <v>174</v>
      </c>
      <c r="F43" s="9" t="s">
        <v>53</v>
      </c>
      <c r="G43" s="9"/>
      <c r="H43" s="9" t="s">
        <v>176</v>
      </c>
      <c r="I43" s="35">
        <v>5</v>
      </c>
      <c r="J43" s="9"/>
      <c r="K43" s="9" t="s">
        <v>573</v>
      </c>
      <c r="L43" s="9" t="s">
        <v>209</v>
      </c>
      <c r="M43" s="42"/>
    </row>
    <row r="44" spans="1:14" ht="20" customHeight="1">
      <c r="A44" s="9" t="s">
        <v>574</v>
      </c>
      <c r="B44" s="9" t="s">
        <v>207</v>
      </c>
      <c r="C44" s="9" t="s">
        <v>575</v>
      </c>
      <c r="D44" s="9" t="s">
        <v>347</v>
      </c>
      <c r="E44" s="9" t="s">
        <v>174</v>
      </c>
      <c r="F44" s="9" t="s">
        <v>53</v>
      </c>
      <c r="G44" s="9"/>
      <c r="H44" s="9" t="s">
        <v>176</v>
      </c>
      <c r="I44" s="35">
        <v>5</v>
      </c>
      <c r="J44" s="9"/>
      <c r="K44" s="9" t="s">
        <v>576</v>
      </c>
      <c r="L44" s="9" t="s">
        <v>209</v>
      </c>
      <c r="M44" s="42"/>
    </row>
    <row r="45" spans="1:14" ht="20" customHeight="1">
      <c r="A45" s="9" t="s">
        <v>577</v>
      </c>
      <c r="B45" s="9" t="s">
        <v>207</v>
      </c>
      <c r="C45" s="9" t="s">
        <v>578</v>
      </c>
      <c r="D45" s="9" t="s">
        <v>347</v>
      </c>
      <c r="E45" s="9" t="s">
        <v>174</v>
      </c>
      <c r="F45" s="9" t="s">
        <v>53</v>
      </c>
      <c r="G45" s="9"/>
      <c r="H45" s="9" t="s">
        <v>176</v>
      </c>
      <c r="I45" s="35">
        <v>5</v>
      </c>
      <c r="J45" s="9"/>
      <c r="K45" s="9" t="s">
        <v>579</v>
      </c>
      <c r="L45" s="9" t="s">
        <v>209</v>
      </c>
      <c r="M45" s="42"/>
    </row>
    <row r="46" spans="1:14" ht="20" customHeight="1">
      <c r="A46" s="9" t="s">
        <v>580</v>
      </c>
      <c r="B46" s="9" t="s">
        <v>207</v>
      </c>
      <c r="C46" s="9" t="s">
        <v>581</v>
      </c>
      <c r="D46" s="9" t="s">
        <v>347</v>
      </c>
      <c r="E46" s="9" t="s">
        <v>174</v>
      </c>
      <c r="F46" s="9" t="s">
        <v>53</v>
      </c>
      <c r="G46" s="9"/>
      <c r="H46" s="9" t="s">
        <v>176</v>
      </c>
      <c r="I46" s="35">
        <v>2</v>
      </c>
      <c r="J46" s="9"/>
      <c r="K46" s="9" t="s">
        <v>582</v>
      </c>
      <c r="L46" s="9" t="s">
        <v>209</v>
      </c>
      <c r="M46" s="42"/>
    </row>
    <row r="47" spans="1:14" ht="20" customHeight="1">
      <c r="A47" s="9" t="s">
        <v>583</v>
      </c>
      <c r="B47" s="9" t="s">
        <v>207</v>
      </c>
      <c r="C47" s="9" t="s">
        <v>584</v>
      </c>
      <c r="D47" s="9" t="s">
        <v>351</v>
      </c>
      <c r="E47" s="9" t="s">
        <v>174</v>
      </c>
      <c r="F47" s="9" t="s">
        <v>53</v>
      </c>
      <c r="G47" s="9"/>
      <c r="H47" s="9" t="s">
        <v>176</v>
      </c>
      <c r="I47" s="35">
        <v>3</v>
      </c>
      <c r="J47" s="9"/>
      <c r="K47" s="9" t="s">
        <v>585</v>
      </c>
      <c r="L47" s="9" t="s">
        <v>212</v>
      </c>
      <c r="M47" s="42"/>
    </row>
    <row r="48" spans="1:14" ht="20" customHeight="1">
      <c r="A48" s="9" t="s">
        <v>586</v>
      </c>
      <c r="B48" s="9" t="s">
        <v>207</v>
      </c>
      <c r="C48" s="9" t="s">
        <v>587</v>
      </c>
      <c r="D48" s="9" t="s">
        <v>351</v>
      </c>
      <c r="E48" s="9" t="s">
        <v>174</v>
      </c>
      <c r="F48" s="9" t="s">
        <v>53</v>
      </c>
      <c r="G48" s="9"/>
      <c r="H48" s="9" t="s">
        <v>176</v>
      </c>
      <c r="I48" s="35">
        <v>3</v>
      </c>
      <c r="J48" s="9"/>
      <c r="K48" s="9" t="s">
        <v>588</v>
      </c>
      <c r="L48" s="9" t="s">
        <v>212</v>
      </c>
      <c r="M48" s="42"/>
    </row>
    <row r="49" spans="1:13" ht="20" customHeight="1">
      <c r="A49" s="9" t="s">
        <v>589</v>
      </c>
      <c r="B49" s="9" t="s">
        <v>207</v>
      </c>
      <c r="C49" s="9" t="s">
        <v>590</v>
      </c>
      <c r="D49" s="9" t="s">
        <v>351</v>
      </c>
      <c r="E49" s="9" t="s">
        <v>174</v>
      </c>
      <c r="F49" s="9" t="s">
        <v>53</v>
      </c>
      <c r="G49" s="9"/>
      <c r="H49" s="9" t="s">
        <v>176</v>
      </c>
      <c r="I49" s="35">
        <v>5</v>
      </c>
      <c r="J49" s="9"/>
      <c r="K49" s="9" t="s">
        <v>591</v>
      </c>
      <c r="L49" s="9" t="s">
        <v>212</v>
      </c>
      <c r="M49" s="42"/>
    </row>
    <row r="50" spans="1:13" ht="20" customHeight="1">
      <c r="A50" s="9" t="s">
        <v>592</v>
      </c>
      <c r="B50" s="9" t="s">
        <v>207</v>
      </c>
      <c r="C50" s="9" t="s">
        <v>593</v>
      </c>
      <c r="D50" s="9" t="s">
        <v>351</v>
      </c>
      <c r="E50" s="9" t="s">
        <v>174</v>
      </c>
      <c r="F50" s="9" t="s">
        <v>53</v>
      </c>
      <c r="G50" s="9"/>
      <c r="H50" s="9" t="s">
        <v>176</v>
      </c>
      <c r="I50" s="35">
        <v>2</v>
      </c>
      <c r="J50" s="9"/>
      <c r="K50" s="9" t="s">
        <v>594</v>
      </c>
      <c r="L50" s="9" t="s">
        <v>212</v>
      </c>
      <c r="M50" s="42"/>
    </row>
    <row r="51" spans="1:13" ht="20" customHeight="1">
      <c r="A51" s="9" t="s">
        <v>595</v>
      </c>
      <c r="B51" s="9" t="s">
        <v>207</v>
      </c>
      <c r="C51" s="9" t="s">
        <v>596</v>
      </c>
      <c r="D51" s="9" t="s">
        <v>347</v>
      </c>
      <c r="E51" s="9" t="s">
        <v>174</v>
      </c>
      <c r="F51" s="9" t="s">
        <v>53</v>
      </c>
      <c r="G51" s="9"/>
      <c r="H51" s="9" t="s">
        <v>176</v>
      </c>
      <c r="I51" s="35">
        <v>3</v>
      </c>
      <c r="J51" s="9"/>
      <c r="K51" s="9" t="s">
        <v>597</v>
      </c>
      <c r="L51" s="9" t="s">
        <v>215</v>
      </c>
      <c r="M51" s="42"/>
    </row>
    <row r="52" spans="1:13" ht="20" customHeight="1">
      <c r="A52" s="9" t="s">
        <v>598</v>
      </c>
      <c r="B52" s="9" t="s">
        <v>207</v>
      </c>
      <c r="C52" s="9" t="s">
        <v>599</v>
      </c>
      <c r="D52" s="9" t="s">
        <v>347</v>
      </c>
      <c r="E52" s="9" t="s">
        <v>174</v>
      </c>
      <c r="F52" s="9" t="s">
        <v>53</v>
      </c>
      <c r="G52" s="9"/>
      <c r="H52" s="9" t="s">
        <v>176</v>
      </c>
      <c r="I52" s="35">
        <v>3</v>
      </c>
      <c r="J52" s="9"/>
      <c r="K52" s="9" t="s">
        <v>600</v>
      </c>
      <c r="L52" s="9" t="s">
        <v>215</v>
      </c>
      <c r="M52" s="42"/>
    </row>
    <row r="53" spans="1:13" ht="20" customHeight="1">
      <c r="A53" s="9" t="s">
        <v>601</v>
      </c>
      <c r="B53" s="9" t="s">
        <v>207</v>
      </c>
      <c r="C53" s="9" t="s">
        <v>602</v>
      </c>
      <c r="D53" s="9" t="s">
        <v>351</v>
      </c>
      <c r="E53" s="9" t="s">
        <v>174</v>
      </c>
      <c r="F53" s="9" t="s">
        <v>53</v>
      </c>
      <c r="G53" s="9"/>
      <c r="H53" s="9" t="s">
        <v>176</v>
      </c>
      <c r="I53" s="35">
        <v>2</v>
      </c>
      <c r="J53" s="9"/>
      <c r="K53" s="9" t="s">
        <v>603</v>
      </c>
      <c r="L53" s="9" t="s">
        <v>215</v>
      </c>
      <c r="M53" s="42"/>
    </row>
    <row r="54" spans="1:13" ht="20" hidden="1" customHeight="1">
      <c r="A54" s="9" t="s">
        <v>604</v>
      </c>
      <c r="B54" s="9" t="s">
        <v>222</v>
      </c>
      <c r="C54" s="9" t="s">
        <v>605</v>
      </c>
      <c r="D54" s="9" t="s">
        <v>347</v>
      </c>
      <c r="E54" s="9" t="s">
        <v>174</v>
      </c>
      <c r="F54" s="9" t="s">
        <v>53</v>
      </c>
      <c r="G54" s="9"/>
      <c r="H54" s="9" t="s">
        <v>176</v>
      </c>
      <c r="I54" s="35">
        <v>5</v>
      </c>
      <c r="J54" s="9"/>
      <c r="K54" s="9" t="s">
        <v>606</v>
      </c>
      <c r="L54" s="9" t="s">
        <v>218</v>
      </c>
      <c r="M54" s="42"/>
    </row>
    <row r="55" spans="1:13" ht="20" hidden="1" customHeight="1">
      <c r="A55" s="9" t="s">
        <v>607</v>
      </c>
      <c r="B55" s="9" t="s">
        <v>222</v>
      </c>
      <c r="C55" s="9" t="s">
        <v>608</v>
      </c>
      <c r="D55" s="9" t="s">
        <v>347</v>
      </c>
      <c r="E55" s="9" t="s">
        <v>174</v>
      </c>
      <c r="F55" s="9" t="s">
        <v>53</v>
      </c>
      <c r="G55" s="9"/>
      <c r="H55" s="9" t="s">
        <v>176</v>
      </c>
      <c r="I55" s="35">
        <v>3</v>
      </c>
      <c r="J55" s="9"/>
      <c r="K55" s="9" t="s">
        <v>609</v>
      </c>
      <c r="L55" s="9" t="s">
        <v>218</v>
      </c>
      <c r="M55" s="42"/>
    </row>
    <row r="56" spans="1:13" ht="20" hidden="1" customHeight="1">
      <c r="A56" s="9" t="s">
        <v>610</v>
      </c>
      <c r="B56" s="9" t="s">
        <v>222</v>
      </c>
      <c r="C56" s="9" t="s">
        <v>611</v>
      </c>
      <c r="D56" s="9" t="s">
        <v>347</v>
      </c>
      <c r="E56" s="9" t="s">
        <v>174</v>
      </c>
      <c r="F56" s="9" t="s">
        <v>53</v>
      </c>
      <c r="G56" s="9"/>
      <c r="H56" s="9" t="s">
        <v>176</v>
      </c>
      <c r="I56" s="35">
        <v>3</v>
      </c>
      <c r="J56" s="9"/>
      <c r="K56" s="9" t="s">
        <v>612</v>
      </c>
      <c r="L56" s="9" t="s">
        <v>218</v>
      </c>
      <c r="M56" s="42"/>
    </row>
    <row r="57" spans="1:13" ht="20" hidden="1" customHeight="1">
      <c r="A57" s="9" t="s">
        <v>613</v>
      </c>
      <c r="B57" s="9" t="s">
        <v>222</v>
      </c>
      <c r="C57" s="9" t="s">
        <v>614</v>
      </c>
      <c r="D57" s="9" t="s">
        <v>347</v>
      </c>
      <c r="E57" s="9" t="s">
        <v>174</v>
      </c>
      <c r="F57" s="9" t="s">
        <v>53</v>
      </c>
      <c r="G57" s="9"/>
      <c r="H57" s="9" t="s">
        <v>176</v>
      </c>
      <c r="I57" s="35">
        <v>5</v>
      </c>
      <c r="J57" s="9"/>
      <c r="K57" s="9" t="s">
        <v>615</v>
      </c>
      <c r="L57" s="9" t="s">
        <v>224</v>
      </c>
      <c r="M57" s="42"/>
    </row>
    <row r="58" spans="1:13" ht="20" hidden="1" customHeight="1">
      <c r="A58" s="9" t="s">
        <v>616</v>
      </c>
      <c r="B58" s="9" t="s">
        <v>222</v>
      </c>
      <c r="C58" s="9" t="s">
        <v>617</v>
      </c>
      <c r="D58" s="9" t="s">
        <v>347</v>
      </c>
      <c r="E58" s="9" t="s">
        <v>174</v>
      </c>
      <c r="F58" s="9" t="s">
        <v>53</v>
      </c>
      <c r="G58" s="9"/>
      <c r="H58" s="9" t="s">
        <v>176</v>
      </c>
      <c r="I58" s="35">
        <v>3</v>
      </c>
      <c r="J58" s="9"/>
      <c r="K58" s="9" t="s">
        <v>618</v>
      </c>
      <c r="L58" s="9" t="s">
        <v>224</v>
      </c>
      <c r="M58" s="42"/>
    </row>
    <row r="59" spans="1:13" ht="20" hidden="1" customHeight="1">
      <c r="A59" s="9" t="s">
        <v>619</v>
      </c>
      <c r="B59" s="9" t="s">
        <v>222</v>
      </c>
      <c r="C59" s="9" t="s">
        <v>620</v>
      </c>
      <c r="D59" s="9" t="s">
        <v>347</v>
      </c>
      <c r="E59" s="9" t="s">
        <v>174</v>
      </c>
      <c r="F59" s="9" t="s">
        <v>53</v>
      </c>
      <c r="G59" s="9"/>
      <c r="H59" s="9" t="s">
        <v>176</v>
      </c>
      <c r="I59" s="35">
        <v>3</v>
      </c>
      <c r="J59" s="9"/>
      <c r="K59" s="9" t="s">
        <v>621</v>
      </c>
      <c r="L59" s="9" t="s">
        <v>224</v>
      </c>
      <c r="M59" s="42"/>
    </row>
    <row r="60" spans="1:13" ht="20" hidden="1" customHeight="1">
      <c r="A60" s="9" t="s">
        <v>622</v>
      </c>
      <c r="B60" s="9" t="s">
        <v>222</v>
      </c>
      <c r="C60" s="9" t="s">
        <v>623</v>
      </c>
      <c r="D60" s="9" t="s">
        <v>347</v>
      </c>
      <c r="E60" s="9" t="s">
        <v>174</v>
      </c>
      <c r="F60" s="9" t="s">
        <v>53</v>
      </c>
      <c r="G60" s="9"/>
      <c r="H60" s="9" t="s">
        <v>176</v>
      </c>
      <c r="I60" s="35">
        <v>5</v>
      </c>
      <c r="J60" s="9"/>
      <c r="K60" s="9" t="s">
        <v>624</v>
      </c>
      <c r="L60" s="9" t="s">
        <v>227</v>
      </c>
      <c r="M60" s="42"/>
    </row>
    <row r="61" spans="1:13" ht="20" hidden="1" customHeight="1">
      <c r="A61" s="9" t="s">
        <v>625</v>
      </c>
      <c r="B61" s="9" t="s">
        <v>222</v>
      </c>
      <c r="C61" s="9" t="s">
        <v>626</v>
      </c>
      <c r="D61" s="9" t="s">
        <v>347</v>
      </c>
      <c r="E61" s="9" t="s">
        <v>174</v>
      </c>
      <c r="F61" s="9" t="s">
        <v>53</v>
      </c>
      <c r="G61" s="9"/>
      <c r="H61" s="9" t="s">
        <v>176</v>
      </c>
      <c r="I61" s="35">
        <v>5</v>
      </c>
      <c r="J61" s="9"/>
      <c r="K61" s="9" t="s">
        <v>624</v>
      </c>
      <c r="L61" s="9" t="s">
        <v>227</v>
      </c>
      <c r="M61" s="42"/>
    </row>
    <row r="62" spans="1:13" ht="20" hidden="1" customHeight="1">
      <c r="A62" s="9" t="s">
        <v>627</v>
      </c>
      <c r="B62" s="9" t="s">
        <v>222</v>
      </c>
      <c r="C62" s="9" t="s">
        <v>628</v>
      </c>
      <c r="D62" s="9" t="s">
        <v>347</v>
      </c>
      <c r="E62" s="9" t="s">
        <v>174</v>
      </c>
      <c r="F62" s="9" t="s">
        <v>53</v>
      </c>
      <c r="G62" s="9"/>
      <c r="H62" s="9" t="s">
        <v>176</v>
      </c>
      <c r="I62" s="35">
        <v>5</v>
      </c>
      <c r="J62" s="9"/>
      <c r="K62" s="9" t="s">
        <v>629</v>
      </c>
      <c r="L62" s="9" t="s">
        <v>227</v>
      </c>
      <c r="M62" s="42"/>
    </row>
    <row r="63" spans="1:13" ht="20" hidden="1" customHeight="1">
      <c r="A63" s="9" t="s">
        <v>630</v>
      </c>
      <c r="B63" s="9" t="s">
        <v>222</v>
      </c>
      <c r="C63" s="9" t="s">
        <v>631</v>
      </c>
      <c r="D63" s="9" t="s">
        <v>378</v>
      </c>
      <c r="E63" s="9" t="s">
        <v>174</v>
      </c>
      <c r="F63" s="9" t="s">
        <v>53</v>
      </c>
      <c r="G63" s="9"/>
      <c r="H63" s="9" t="s">
        <v>302</v>
      </c>
      <c r="I63" s="35">
        <v>3</v>
      </c>
      <c r="J63" s="9"/>
      <c r="K63" s="9" t="s">
        <v>632</v>
      </c>
      <c r="L63" s="9" t="s">
        <v>227</v>
      </c>
      <c r="M63" s="42"/>
    </row>
    <row r="64" spans="1:13" ht="33" hidden="1" customHeight="1">
      <c r="A64" s="9" t="s">
        <v>633</v>
      </c>
      <c r="B64" s="9" t="s">
        <v>222</v>
      </c>
      <c r="C64" s="9" t="s">
        <v>634</v>
      </c>
      <c r="D64" s="9" t="s">
        <v>347</v>
      </c>
      <c r="E64" s="9" t="s">
        <v>174</v>
      </c>
      <c r="F64" s="9" t="s">
        <v>53</v>
      </c>
      <c r="G64" s="9"/>
      <c r="H64" s="9" t="s">
        <v>176</v>
      </c>
      <c r="I64" s="35">
        <v>2</v>
      </c>
      <c r="J64" s="9"/>
      <c r="K64" s="9" t="s">
        <v>635</v>
      </c>
      <c r="L64" s="9" t="s">
        <v>230</v>
      </c>
      <c r="M64" s="42"/>
    </row>
    <row r="65" spans="1:13" ht="20" hidden="1" customHeight="1">
      <c r="A65" s="9" t="s">
        <v>636</v>
      </c>
      <c r="B65" s="9" t="s">
        <v>222</v>
      </c>
      <c r="C65" s="9" t="s">
        <v>637</v>
      </c>
      <c r="D65" s="9" t="s">
        <v>347</v>
      </c>
      <c r="E65" s="9" t="s">
        <v>174</v>
      </c>
      <c r="F65" s="9" t="s">
        <v>53</v>
      </c>
      <c r="G65" s="9"/>
      <c r="H65" s="9" t="s">
        <v>176</v>
      </c>
      <c r="I65" s="35">
        <v>2</v>
      </c>
      <c r="J65" s="9"/>
      <c r="K65" s="9" t="s">
        <v>638</v>
      </c>
      <c r="L65" s="9" t="s">
        <v>230</v>
      </c>
      <c r="M65" s="42"/>
    </row>
    <row r="66" spans="1:13" ht="20" hidden="1" customHeight="1">
      <c r="A66" s="9" t="s">
        <v>639</v>
      </c>
      <c r="B66" s="9" t="s">
        <v>222</v>
      </c>
      <c r="C66" s="9" t="s">
        <v>640</v>
      </c>
      <c r="D66" s="9" t="s">
        <v>347</v>
      </c>
      <c r="E66" s="9" t="s">
        <v>174</v>
      </c>
      <c r="F66" s="9" t="s">
        <v>53</v>
      </c>
      <c r="G66" s="9"/>
      <c r="H66" s="9" t="s">
        <v>176</v>
      </c>
      <c r="I66" s="35">
        <v>3</v>
      </c>
      <c r="J66" s="9"/>
      <c r="K66" s="9" t="s">
        <v>641</v>
      </c>
      <c r="L66" s="9" t="s">
        <v>230</v>
      </c>
      <c r="M66" s="42"/>
    </row>
    <row r="67" spans="1:13" ht="20" hidden="1" customHeight="1">
      <c r="A67" s="9" t="s">
        <v>642</v>
      </c>
      <c r="B67" s="9" t="s">
        <v>222</v>
      </c>
      <c r="C67" s="9" t="s">
        <v>643</v>
      </c>
      <c r="D67" s="9" t="s">
        <v>351</v>
      </c>
      <c r="E67" s="9" t="s">
        <v>174</v>
      </c>
      <c r="F67" s="9" t="s">
        <v>53</v>
      </c>
      <c r="G67" s="9"/>
      <c r="H67" s="9" t="s">
        <v>176</v>
      </c>
      <c r="I67" s="35">
        <v>5</v>
      </c>
      <c r="J67" s="9"/>
      <c r="K67" s="9" t="s">
        <v>644</v>
      </c>
      <c r="L67" s="9" t="s">
        <v>233</v>
      </c>
      <c r="M67" s="42"/>
    </row>
    <row r="68" spans="1:13" ht="20" hidden="1" customHeight="1">
      <c r="A68" s="9" t="s">
        <v>645</v>
      </c>
      <c r="B68" s="9" t="s">
        <v>222</v>
      </c>
      <c r="C68" s="9" t="s">
        <v>646</v>
      </c>
      <c r="D68" s="9" t="s">
        <v>351</v>
      </c>
      <c r="E68" s="9" t="s">
        <v>174</v>
      </c>
      <c r="F68" s="9" t="s">
        <v>53</v>
      </c>
      <c r="G68" s="9"/>
      <c r="H68" s="9" t="s">
        <v>176</v>
      </c>
      <c r="I68" s="35">
        <v>5</v>
      </c>
      <c r="J68" s="9"/>
      <c r="K68" s="9" t="s">
        <v>647</v>
      </c>
      <c r="L68" s="9" t="s">
        <v>233</v>
      </c>
      <c r="M68" s="42"/>
    </row>
    <row r="69" spans="1:13" ht="20" hidden="1" customHeight="1">
      <c r="A69" s="9" t="s">
        <v>648</v>
      </c>
      <c r="B69" s="9" t="s">
        <v>222</v>
      </c>
      <c r="C69" s="9" t="s">
        <v>649</v>
      </c>
      <c r="D69" s="9" t="s">
        <v>351</v>
      </c>
      <c r="E69" s="9" t="s">
        <v>174</v>
      </c>
      <c r="F69" s="9" t="s">
        <v>53</v>
      </c>
      <c r="G69" s="9"/>
      <c r="H69" s="9" t="s">
        <v>176</v>
      </c>
      <c r="I69" s="35">
        <v>5</v>
      </c>
      <c r="J69" s="9"/>
      <c r="K69" s="9" t="s">
        <v>650</v>
      </c>
      <c r="L69" s="9" t="s">
        <v>233</v>
      </c>
      <c r="M69" s="42"/>
    </row>
    <row r="70" spans="1:13" ht="20" hidden="1" customHeight="1">
      <c r="A70" s="9" t="s">
        <v>651</v>
      </c>
      <c r="B70" s="9" t="s">
        <v>222</v>
      </c>
      <c r="C70" s="9" t="s">
        <v>652</v>
      </c>
      <c r="D70" s="9" t="s">
        <v>351</v>
      </c>
      <c r="E70" s="9" t="s">
        <v>174</v>
      </c>
      <c r="F70" s="9" t="s">
        <v>53</v>
      </c>
      <c r="G70" s="9"/>
      <c r="H70" s="9" t="s">
        <v>176</v>
      </c>
      <c r="I70" s="35">
        <v>3</v>
      </c>
      <c r="J70" s="9"/>
      <c r="K70" s="9" t="s">
        <v>653</v>
      </c>
      <c r="L70" s="9" t="s">
        <v>233</v>
      </c>
      <c r="M70" s="42"/>
    </row>
    <row r="71" spans="1:13" ht="20" hidden="1" customHeight="1">
      <c r="A71" s="9" t="s">
        <v>376</v>
      </c>
      <c r="B71" s="9" t="s">
        <v>239</v>
      </c>
      <c r="C71" s="9" t="s">
        <v>377</v>
      </c>
      <c r="D71" s="9" t="s">
        <v>378</v>
      </c>
      <c r="E71" s="9" t="s">
        <v>174</v>
      </c>
      <c r="F71" s="9" t="s">
        <v>53</v>
      </c>
      <c r="G71" s="9"/>
      <c r="H71" s="9" t="s">
        <v>302</v>
      </c>
      <c r="I71" s="29">
        <v>5</v>
      </c>
      <c r="J71" s="9"/>
      <c r="K71" s="9" t="s">
        <v>379</v>
      </c>
      <c r="L71" s="9" t="s">
        <v>241</v>
      </c>
      <c r="M71" s="42"/>
    </row>
    <row r="72" spans="1:13" ht="20" hidden="1" customHeight="1">
      <c r="A72" s="9" t="s">
        <v>654</v>
      </c>
      <c r="B72" s="9" t="s">
        <v>239</v>
      </c>
      <c r="C72" s="9" t="s">
        <v>655</v>
      </c>
      <c r="D72" s="9" t="s">
        <v>347</v>
      </c>
      <c r="E72" s="9" t="s">
        <v>174</v>
      </c>
      <c r="F72" s="9" t="s">
        <v>53</v>
      </c>
      <c r="G72" s="9"/>
      <c r="H72" s="9" t="s">
        <v>176</v>
      </c>
      <c r="I72" s="35">
        <v>5</v>
      </c>
      <c r="J72" s="9"/>
      <c r="K72" s="9" t="s">
        <v>656</v>
      </c>
      <c r="L72" s="9" t="s">
        <v>236</v>
      </c>
      <c r="M72" s="42"/>
    </row>
    <row r="73" spans="1:13" ht="20" hidden="1" customHeight="1">
      <c r="A73" s="9" t="s">
        <v>657</v>
      </c>
      <c r="B73" s="9" t="s">
        <v>239</v>
      </c>
      <c r="C73" s="9" t="s">
        <v>658</v>
      </c>
      <c r="D73" s="9" t="s">
        <v>347</v>
      </c>
      <c r="E73" s="9" t="s">
        <v>174</v>
      </c>
      <c r="F73" s="9" t="s">
        <v>53</v>
      </c>
      <c r="G73" s="9"/>
      <c r="H73" s="9" t="s">
        <v>176</v>
      </c>
      <c r="I73" s="35">
        <v>2</v>
      </c>
      <c r="J73" s="9"/>
      <c r="K73" s="9" t="s">
        <v>659</v>
      </c>
      <c r="L73" s="9" t="s">
        <v>236</v>
      </c>
      <c r="M73" s="42"/>
    </row>
    <row r="74" spans="1:13" ht="32" hidden="1" customHeight="1">
      <c r="A74" s="9" t="s">
        <v>660</v>
      </c>
      <c r="B74" s="9" t="s">
        <v>239</v>
      </c>
      <c r="C74" s="9" t="s">
        <v>661</v>
      </c>
      <c r="D74" s="9" t="s">
        <v>378</v>
      </c>
      <c r="E74" s="9" t="s">
        <v>174</v>
      </c>
      <c r="F74" s="9" t="s">
        <v>53</v>
      </c>
      <c r="G74" s="9"/>
      <c r="H74" s="9" t="s">
        <v>302</v>
      </c>
      <c r="I74" s="35">
        <v>3</v>
      </c>
      <c r="J74" s="9"/>
      <c r="K74" s="9" t="s">
        <v>662</v>
      </c>
      <c r="L74" s="9" t="s">
        <v>236</v>
      </c>
      <c r="M74" s="42"/>
    </row>
    <row r="75" spans="1:13" ht="20" hidden="1" customHeight="1">
      <c r="A75" s="9" t="s">
        <v>663</v>
      </c>
      <c r="B75" s="9" t="s">
        <v>239</v>
      </c>
      <c r="C75" s="9" t="s">
        <v>664</v>
      </c>
      <c r="D75" s="9" t="s">
        <v>355</v>
      </c>
      <c r="E75" s="9" t="s">
        <v>174</v>
      </c>
      <c r="F75" s="9" t="s">
        <v>53</v>
      </c>
      <c r="G75" s="9"/>
      <c r="H75" s="9" t="s">
        <v>176</v>
      </c>
      <c r="I75" s="35">
        <v>5</v>
      </c>
      <c r="J75" s="9"/>
      <c r="K75" s="9" t="s">
        <v>665</v>
      </c>
      <c r="L75" s="9" t="s">
        <v>241</v>
      </c>
      <c r="M75" s="42"/>
    </row>
    <row r="76" spans="1:13" ht="20" hidden="1" customHeight="1">
      <c r="A76" s="9" t="s">
        <v>666</v>
      </c>
      <c r="B76" s="9" t="s">
        <v>239</v>
      </c>
      <c r="C76" s="9" t="s">
        <v>667</v>
      </c>
      <c r="D76" s="9" t="s">
        <v>347</v>
      </c>
      <c r="E76" s="9" t="s">
        <v>174</v>
      </c>
      <c r="F76" s="9" t="s">
        <v>53</v>
      </c>
      <c r="G76" s="9"/>
      <c r="H76" s="9" t="s">
        <v>176</v>
      </c>
      <c r="I76" s="35">
        <v>5</v>
      </c>
      <c r="J76" s="9"/>
      <c r="K76" s="9" t="s">
        <v>668</v>
      </c>
      <c r="L76" s="9" t="s">
        <v>241</v>
      </c>
      <c r="M76" s="42"/>
    </row>
    <row r="77" spans="1:13" ht="20" hidden="1" customHeight="1">
      <c r="A77" s="9" t="s">
        <v>669</v>
      </c>
      <c r="B77" s="9" t="s">
        <v>239</v>
      </c>
      <c r="C77" s="9" t="s">
        <v>670</v>
      </c>
      <c r="D77" s="9" t="s">
        <v>347</v>
      </c>
      <c r="E77" s="9" t="s">
        <v>174</v>
      </c>
      <c r="F77" s="9" t="s">
        <v>53</v>
      </c>
      <c r="G77" s="9"/>
      <c r="H77" s="9" t="s">
        <v>176</v>
      </c>
      <c r="I77" s="35">
        <v>3</v>
      </c>
      <c r="J77" s="9"/>
      <c r="K77" s="9" t="s">
        <v>671</v>
      </c>
      <c r="L77" s="9" t="s">
        <v>241</v>
      </c>
      <c r="M77" s="42"/>
    </row>
    <row r="78" spans="1:13" ht="32" hidden="1" customHeight="1">
      <c r="A78" s="9" t="s">
        <v>672</v>
      </c>
      <c r="B78" s="9" t="s">
        <v>239</v>
      </c>
      <c r="C78" s="9" t="s">
        <v>673</v>
      </c>
      <c r="D78" s="9" t="s">
        <v>355</v>
      </c>
      <c r="E78" s="9" t="s">
        <v>174</v>
      </c>
      <c r="F78" s="9" t="s">
        <v>53</v>
      </c>
      <c r="G78" s="9"/>
      <c r="H78" s="9" t="s">
        <v>176</v>
      </c>
      <c r="I78" s="35">
        <v>5</v>
      </c>
      <c r="J78" s="9"/>
      <c r="K78" s="9" t="s">
        <v>674</v>
      </c>
      <c r="L78" s="9" t="s">
        <v>241</v>
      </c>
      <c r="M78" s="42"/>
    </row>
    <row r="79" spans="1:13" ht="20" hidden="1" customHeight="1">
      <c r="A79" s="9" t="s">
        <v>675</v>
      </c>
      <c r="B79" s="9" t="s">
        <v>239</v>
      </c>
      <c r="C79" s="9" t="s">
        <v>676</v>
      </c>
      <c r="D79" s="9" t="s">
        <v>347</v>
      </c>
      <c r="E79" s="9" t="s">
        <v>174</v>
      </c>
      <c r="F79" s="9" t="s">
        <v>53</v>
      </c>
      <c r="G79" s="9"/>
      <c r="H79" s="9" t="s">
        <v>176</v>
      </c>
      <c r="I79" s="35">
        <v>3</v>
      </c>
      <c r="J79" s="9"/>
      <c r="K79" s="9" t="s">
        <v>677</v>
      </c>
      <c r="L79" s="9" t="s">
        <v>244</v>
      </c>
      <c r="M79" s="42"/>
    </row>
    <row r="80" spans="1:13" ht="20" hidden="1" customHeight="1">
      <c r="A80" s="9" t="s">
        <v>678</v>
      </c>
      <c r="B80" s="9" t="s">
        <v>239</v>
      </c>
      <c r="C80" s="9" t="s">
        <v>679</v>
      </c>
      <c r="D80" s="9" t="s">
        <v>347</v>
      </c>
      <c r="E80" s="9" t="s">
        <v>174</v>
      </c>
      <c r="F80" s="9" t="s">
        <v>53</v>
      </c>
      <c r="G80" s="9"/>
      <c r="H80" s="9" t="s">
        <v>176</v>
      </c>
      <c r="I80" s="35">
        <v>3</v>
      </c>
      <c r="J80" s="9"/>
      <c r="K80" s="9" t="s">
        <v>680</v>
      </c>
      <c r="L80" s="9" t="s">
        <v>244</v>
      </c>
      <c r="M80" s="42"/>
    </row>
    <row r="81" spans="1:13" ht="32" hidden="1" customHeight="1">
      <c r="A81" s="9" t="s">
        <v>681</v>
      </c>
      <c r="B81" s="9" t="s">
        <v>239</v>
      </c>
      <c r="C81" s="9" t="s">
        <v>682</v>
      </c>
      <c r="D81" s="9" t="s">
        <v>347</v>
      </c>
      <c r="E81" s="9" t="s">
        <v>174</v>
      </c>
      <c r="F81" s="9" t="s">
        <v>53</v>
      </c>
      <c r="G81" s="9"/>
      <c r="H81" s="9" t="s">
        <v>176</v>
      </c>
      <c r="I81" s="35">
        <v>3</v>
      </c>
      <c r="J81" s="9"/>
      <c r="K81" s="9" t="s">
        <v>683</v>
      </c>
      <c r="L81" s="9" t="s">
        <v>244</v>
      </c>
      <c r="M81" s="42"/>
    </row>
    <row r="82" spans="1:13" ht="20" hidden="1" customHeight="1">
      <c r="A82" s="9" t="s">
        <v>684</v>
      </c>
      <c r="B82" s="9" t="s">
        <v>239</v>
      </c>
      <c r="C82" s="9" t="s">
        <v>685</v>
      </c>
      <c r="D82" s="9" t="s">
        <v>347</v>
      </c>
      <c r="E82" s="9" t="s">
        <v>174</v>
      </c>
      <c r="F82" s="9" t="s">
        <v>53</v>
      </c>
      <c r="G82" s="9"/>
      <c r="H82" s="9" t="s">
        <v>176</v>
      </c>
      <c r="I82" s="35">
        <v>3</v>
      </c>
      <c r="J82" s="9"/>
      <c r="K82" s="9" t="s">
        <v>686</v>
      </c>
      <c r="L82" s="9" t="s">
        <v>247</v>
      </c>
      <c r="M82" s="42"/>
    </row>
    <row r="83" spans="1:13" ht="32" hidden="1" customHeight="1">
      <c r="A83" s="9" t="s">
        <v>687</v>
      </c>
      <c r="B83" s="9" t="s">
        <v>239</v>
      </c>
      <c r="C83" s="9" t="s">
        <v>688</v>
      </c>
      <c r="D83" s="9" t="s">
        <v>347</v>
      </c>
      <c r="E83" s="9" t="s">
        <v>174</v>
      </c>
      <c r="F83" s="9" t="s">
        <v>53</v>
      </c>
      <c r="G83" s="9"/>
      <c r="H83" s="9" t="s">
        <v>176</v>
      </c>
      <c r="I83" s="35">
        <v>5</v>
      </c>
      <c r="J83" s="9"/>
      <c r="K83" s="9" t="s">
        <v>689</v>
      </c>
      <c r="L83" s="9" t="s">
        <v>247</v>
      </c>
      <c r="M83" s="42"/>
    </row>
    <row r="84" spans="1:13" ht="20" hidden="1" customHeight="1">
      <c r="A84" s="9" t="s">
        <v>690</v>
      </c>
      <c r="B84" s="9" t="s">
        <v>239</v>
      </c>
      <c r="C84" s="9" t="s">
        <v>691</v>
      </c>
      <c r="D84" s="9" t="s">
        <v>347</v>
      </c>
      <c r="E84" s="9" t="s">
        <v>174</v>
      </c>
      <c r="F84" s="9" t="s">
        <v>53</v>
      </c>
      <c r="G84" s="9"/>
      <c r="H84" s="9" t="s">
        <v>176</v>
      </c>
      <c r="I84" s="35">
        <v>3</v>
      </c>
      <c r="J84" s="9"/>
      <c r="K84" s="9" t="s">
        <v>692</v>
      </c>
      <c r="L84" s="9" t="s">
        <v>247</v>
      </c>
      <c r="M84" s="42"/>
    </row>
    <row r="85" spans="1:13" ht="20" hidden="1" customHeight="1">
      <c r="A85" s="9" t="s">
        <v>693</v>
      </c>
      <c r="B85" s="9" t="s">
        <v>239</v>
      </c>
      <c r="C85" s="9" t="s">
        <v>694</v>
      </c>
      <c r="D85" s="9" t="s">
        <v>351</v>
      </c>
      <c r="E85" s="9" t="s">
        <v>174</v>
      </c>
      <c r="F85" s="9" t="s">
        <v>53</v>
      </c>
      <c r="G85" s="9"/>
      <c r="H85" s="9" t="s">
        <v>176</v>
      </c>
      <c r="I85" s="35">
        <v>5</v>
      </c>
      <c r="J85" s="9"/>
      <c r="K85" s="9" t="s">
        <v>695</v>
      </c>
      <c r="L85" s="9" t="s">
        <v>250</v>
      </c>
      <c r="M85" s="42"/>
    </row>
    <row r="86" spans="1:13" ht="20" hidden="1" customHeight="1">
      <c r="A86" s="9" t="s">
        <v>696</v>
      </c>
      <c r="B86" s="9" t="s">
        <v>239</v>
      </c>
      <c r="C86" s="9" t="s">
        <v>697</v>
      </c>
      <c r="D86" s="9" t="s">
        <v>351</v>
      </c>
      <c r="E86" s="9" t="s">
        <v>174</v>
      </c>
      <c r="F86" s="9" t="s">
        <v>53</v>
      </c>
      <c r="G86" s="9"/>
      <c r="H86" s="9" t="s">
        <v>176</v>
      </c>
      <c r="I86" s="35">
        <v>5</v>
      </c>
      <c r="J86" s="9"/>
      <c r="K86" s="9" t="s">
        <v>698</v>
      </c>
      <c r="L86" s="9" t="s">
        <v>250</v>
      </c>
      <c r="M86" s="42"/>
    </row>
    <row r="87" spans="1:13" ht="20" hidden="1" customHeight="1">
      <c r="A87" s="9" t="s">
        <v>699</v>
      </c>
      <c r="B87" s="9" t="s">
        <v>239</v>
      </c>
      <c r="C87" s="9" t="s">
        <v>700</v>
      </c>
      <c r="D87" s="9" t="s">
        <v>351</v>
      </c>
      <c r="E87" s="9" t="s">
        <v>174</v>
      </c>
      <c r="F87" s="9" t="s">
        <v>53</v>
      </c>
      <c r="G87" s="9"/>
      <c r="H87" s="9" t="s">
        <v>176</v>
      </c>
      <c r="I87" s="35">
        <v>5</v>
      </c>
      <c r="J87" s="9"/>
      <c r="K87" s="9" t="s">
        <v>701</v>
      </c>
      <c r="L87" s="9" t="s">
        <v>250</v>
      </c>
      <c r="M87" s="42"/>
    </row>
    <row r="88" spans="1:13" ht="20" hidden="1" customHeight="1">
      <c r="A88" s="9" t="s">
        <v>702</v>
      </c>
      <c r="B88" s="9" t="s">
        <v>239</v>
      </c>
      <c r="C88" s="9" t="s">
        <v>703</v>
      </c>
      <c r="D88" s="9" t="s">
        <v>351</v>
      </c>
      <c r="E88" s="9" t="s">
        <v>174</v>
      </c>
      <c r="F88" s="9" t="s">
        <v>53</v>
      </c>
      <c r="G88" s="9"/>
      <c r="H88" s="9" t="s">
        <v>176</v>
      </c>
      <c r="I88" s="35">
        <v>5</v>
      </c>
      <c r="J88" s="9"/>
      <c r="K88" s="9" t="s">
        <v>704</v>
      </c>
      <c r="L88" s="9" t="s">
        <v>250</v>
      </c>
      <c r="M88" s="42"/>
    </row>
    <row r="89" spans="1:13" ht="20" hidden="1" customHeight="1">
      <c r="A89" s="9" t="s">
        <v>705</v>
      </c>
      <c r="B89" s="9" t="s">
        <v>256</v>
      </c>
      <c r="C89" s="9" t="s">
        <v>706</v>
      </c>
      <c r="D89" s="9" t="s">
        <v>347</v>
      </c>
      <c r="E89" s="9" t="s">
        <v>174</v>
      </c>
      <c r="F89" s="9" t="s">
        <v>53</v>
      </c>
      <c r="G89" s="9"/>
      <c r="H89" s="9" t="s">
        <v>176</v>
      </c>
      <c r="I89" s="35">
        <v>3</v>
      </c>
      <c r="J89" s="9"/>
      <c r="K89" s="9" t="s">
        <v>707</v>
      </c>
      <c r="L89" s="9" t="s">
        <v>253</v>
      </c>
      <c r="M89" s="42"/>
    </row>
    <row r="90" spans="1:13" ht="20" hidden="1" customHeight="1">
      <c r="A90" s="9" t="s">
        <v>708</v>
      </c>
      <c r="B90" s="9" t="s">
        <v>256</v>
      </c>
      <c r="C90" s="9" t="s">
        <v>709</v>
      </c>
      <c r="D90" s="9" t="s">
        <v>347</v>
      </c>
      <c r="E90" s="9" t="s">
        <v>174</v>
      </c>
      <c r="F90" s="9" t="s">
        <v>53</v>
      </c>
      <c r="G90" s="9"/>
      <c r="H90" s="9" t="s">
        <v>176</v>
      </c>
      <c r="I90" s="35">
        <v>5</v>
      </c>
      <c r="J90" s="9"/>
      <c r="K90" s="9" t="s">
        <v>710</v>
      </c>
      <c r="L90" s="9" t="s">
        <v>253</v>
      </c>
      <c r="M90" s="42"/>
    </row>
    <row r="91" spans="1:13" ht="32" hidden="1" customHeight="1">
      <c r="A91" s="9" t="s">
        <v>711</v>
      </c>
      <c r="B91" s="9" t="s">
        <v>256</v>
      </c>
      <c r="C91" s="9" t="s">
        <v>712</v>
      </c>
      <c r="D91" s="9" t="s">
        <v>347</v>
      </c>
      <c r="E91" s="9" t="s">
        <v>174</v>
      </c>
      <c r="F91" s="9" t="s">
        <v>53</v>
      </c>
      <c r="G91" s="9"/>
      <c r="H91" s="9" t="s">
        <v>176</v>
      </c>
      <c r="I91" s="35">
        <v>3</v>
      </c>
      <c r="J91" s="9"/>
      <c r="K91" s="9" t="s">
        <v>713</v>
      </c>
      <c r="L91" s="9" t="s">
        <v>253</v>
      </c>
      <c r="M91" s="42"/>
    </row>
    <row r="92" spans="1:13" ht="20" hidden="1" customHeight="1">
      <c r="A92" s="9" t="s">
        <v>714</v>
      </c>
      <c r="B92" s="9" t="s">
        <v>256</v>
      </c>
      <c r="C92" s="9" t="s">
        <v>715</v>
      </c>
      <c r="D92" s="9" t="s">
        <v>347</v>
      </c>
      <c r="E92" s="9" t="s">
        <v>174</v>
      </c>
      <c r="F92" s="9" t="s">
        <v>53</v>
      </c>
      <c r="G92" s="9"/>
      <c r="H92" s="9" t="s">
        <v>176</v>
      </c>
      <c r="I92" s="35">
        <v>5</v>
      </c>
      <c r="J92" s="9"/>
      <c r="K92" s="9" t="s">
        <v>716</v>
      </c>
      <c r="L92" s="9" t="s">
        <v>258</v>
      </c>
      <c r="M92" s="42"/>
    </row>
    <row r="93" spans="1:13" ht="20" hidden="1" customHeight="1">
      <c r="A93" s="9" t="s">
        <v>717</v>
      </c>
      <c r="B93" s="9" t="s">
        <v>256</v>
      </c>
      <c r="C93" s="9" t="s">
        <v>718</v>
      </c>
      <c r="D93" s="9" t="s">
        <v>347</v>
      </c>
      <c r="E93" s="9" t="s">
        <v>174</v>
      </c>
      <c r="F93" s="9" t="s">
        <v>53</v>
      </c>
      <c r="G93" s="9"/>
      <c r="H93" s="9" t="s">
        <v>176</v>
      </c>
      <c r="I93" s="35">
        <v>5</v>
      </c>
      <c r="J93" s="9"/>
      <c r="K93" s="9" t="s">
        <v>719</v>
      </c>
      <c r="L93" s="9" t="s">
        <v>258</v>
      </c>
      <c r="M93" s="42"/>
    </row>
    <row r="94" spans="1:13" ht="20" hidden="1" customHeight="1">
      <c r="A94" s="9" t="s">
        <v>720</v>
      </c>
      <c r="B94" s="9" t="s">
        <v>256</v>
      </c>
      <c r="C94" s="9" t="s">
        <v>721</v>
      </c>
      <c r="D94" s="9" t="s">
        <v>347</v>
      </c>
      <c r="E94" s="9" t="s">
        <v>174</v>
      </c>
      <c r="F94" s="9" t="s">
        <v>53</v>
      </c>
      <c r="G94" s="9"/>
      <c r="H94" s="9" t="s">
        <v>176</v>
      </c>
      <c r="I94" s="35">
        <v>3</v>
      </c>
      <c r="J94" s="9"/>
      <c r="K94" s="9" t="s">
        <v>722</v>
      </c>
      <c r="L94" s="9" t="s">
        <v>258</v>
      </c>
      <c r="M94" s="42"/>
    </row>
    <row r="95" spans="1:13" ht="20" hidden="1" customHeight="1">
      <c r="A95" s="9" t="s">
        <v>723</v>
      </c>
      <c r="B95" s="9" t="s">
        <v>256</v>
      </c>
      <c r="C95" s="9" t="s">
        <v>724</v>
      </c>
      <c r="D95" s="9" t="s">
        <v>378</v>
      </c>
      <c r="E95" s="9" t="s">
        <v>174</v>
      </c>
      <c r="F95" s="9" t="s">
        <v>53</v>
      </c>
      <c r="G95" s="9"/>
      <c r="H95" s="9" t="s">
        <v>302</v>
      </c>
      <c r="I95" s="35">
        <v>3</v>
      </c>
      <c r="J95" s="9"/>
      <c r="K95" s="9" t="s">
        <v>725</v>
      </c>
      <c r="L95" s="9" t="s">
        <v>258</v>
      </c>
      <c r="M95" s="42"/>
    </row>
    <row r="96" spans="1:13" ht="20" hidden="1" customHeight="1">
      <c r="A96" s="9" t="s">
        <v>726</v>
      </c>
      <c r="B96" s="9" t="s">
        <v>256</v>
      </c>
      <c r="C96" s="9" t="s">
        <v>727</v>
      </c>
      <c r="D96" s="9" t="s">
        <v>351</v>
      </c>
      <c r="E96" s="9" t="s">
        <v>174</v>
      </c>
      <c r="F96" s="9" t="s">
        <v>53</v>
      </c>
      <c r="G96" s="9"/>
      <c r="H96" s="9" t="s">
        <v>176</v>
      </c>
      <c r="I96" s="35">
        <v>3</v>
      </c>
      <c r="J96" s="9"/>
      <c r="K96" s="9" t="s">
        <v>728</v>
      </c>
      <c r="L96" s="9" t="s">
        <v>261</v>
      </c>
      <c r="M96" s="42"/>
    </row>
    <row r="97" spans="1:13" ht="20" hidden="1" customHeight="1">
      <c r="A97" s="9" t="s">
        <v>729</v>
      </c>
      <c r="B97" s="9" t="s">
        <v>256</v>
      </c>
      <c r="C97" s="9" t="s">
        <v>730</v>
      </c>
      <c r="D97" s="9" t="s">
        <v>351</v>
      </c>
      <c r="E97" s="9" t="s">
        <v>174</v>
      </c>
      <c r="F97" s="9" t="s">
        <v>53</v>
      </c>
      <c r="G97" s="9"/>
      <c r="H97" s="9" t="s">
        <v>176</v>
      </c>
      <c r="I97" s="35">
        <v>2</v>
      </c>
      <c r="J97" s="9"/>
      <c r="K97" s="9" t="s">
        <v>731</v>
      </c>
      <c r="L97" s="9" t="s">
        <v>261</v>
      </c>
      <c r="M97" s="42"/>
    </row>
    <row r="98" spans="1:13" ht="20" hidden="1" customHeight="1">
      <c r="A98" s="9" t="s">
        <v>732</v>
      </c>
      <c r="B98" s="9" t="s">
        <v>267</v>
      </c>
      <c r="C98" s="9" t="s">
        <v>733</v>
      </c>
      <c r="D98" s="9" t="s">
        <v>347</v>
      </c>
      <c r="E98" s="9" t="s">
        <v>174</v>
      </c>
      <c r="F98" s="9" t="s">
        <v>53</v>
      </c>
      <c r="G98" s="9"/>
      <c r="H98" s="9" t="s">
        <v>176</v>
      </c>
      <c r="I98" s="35">
        <v>3</v>
      </c>
      <c r="J98" s="9"/>
      <c r="K98" s="9" t="s">
        <v>734</v>
      </c>
      <c r="L98" s="9" t="s">
        <v>264</v>
      </c>
      <c r="M98" s="42"/>
    </row>
    <row r="99" spans="1:13" ht="20" hidden="1" customHeight="1">
      <c r="A99" s="9" t="s">
        <v>735</v>
      </c>
      <c r="B99" s="9" t="s">
        <v>267</v>
      </c>
      <c r="C99" s="9" t="s">
        <v>736</v>
      </c>
      <c r="D99" s="9" t="s">
        <v>347</v>
      </c>
      <c r="E99" s="9" t="s">
        <v>174</v>
      </c>
      <c r="F99" s="9" t="s">
        <v>53</v>
      </c>
      <c r="G99" s="9"/>
      <c r="H99" s="9" t="s">
        <v>176</v>
      </c>
      <c r="I99" s="35">
        <v>2</v>
      </c>
      <c r="J99" s="9"/>
      <c r="K99" s="9" t="s">
        <v>737</v>
      </c>
      <c r="L99" s="9" t="s">
        <v>264</v>
      </c>
      <c r="M99" s="42"/>
    </row>
    <row r="100" spans="1:13" ht="20" hidden="1" customHeight="1">
      <c r="A100" s="9" t="s">
        <v>738</v>
      </c>
      <c r="B100" s="9" t="s">
        <v>267</v>
      </c>
      <c r="C100" s="9" t="s">
        <v>739</v>
      </c>
      <c r="D100" s="9" t="s">
        <v>351</v>
      </c>
      <c r="E100" s="9" t="s">
        <v>174</v>
      </c>
      <c r="F100" s="9" t="s">
        <v>53</v>
      </c>
      <c r="G100" s="9"/>
      <c r="H100" s="9" t="s">
        <v>176</v>
      </c>
      <c r="I100" s="35">
        <v>3</v>
      </c>
      <c r="J100" s="9"/>
      <c r="K100" s="9" t="s">
        <v>740</v>
      </c>
      <c r="L100" s="9" t="s">
        <v>264</v>
      </c>
      <c r="M100" s="42"/>
    </row>
    <row r="101" spans="1:13" ht="20" hidden="1" customHeight="1">
      <c r="A101" s="9" t="s">
        <v>741</v>
      </c>
      <c r="B101" s="9" t="s">
        <v>267</v>
      </c>
      <c r="C101" s="9" t="s">
        <v>742</v>
      </c>
      <c r="D101" s="9" t="s">
        <v>347</v>
      </c>
      <c r="E101" s="9" t="s">
        <v>174</v>
      </c>
      <c r="F101" s="9" t="s">
        <v>53</v>
      </c>
      <c r="G101" s="9"/>
      <c r="H101" s="9" t="s">
        <v>176</v>
      </c>
      <c r="I101" s="35">
        <v>3</v>
      </c>
      <c r="J101" s="9"/>
      <c r="K101" s="9" t="s">
        <v>743</v>
      </c>
      <c r="L101" s="9" t="s">
        <v>269</v>
      </c>
      <c r="M101" s="42"/>
    </row>
    <row r="102" spans="1:13" ht="20" hidden="1" customHeight="1">
      <c r="A102" s="9" t="s">
        <v>744</v>
      </c>
      <c r="B102" s="9" t="s">
        <v>267</v>
      </c>
      <c r="C102" s="9" t="s">
        <v>745</v>
      </c>
      <c r="D102" s="9" t="s">
        <v>347</v>
      </c>
      <c r="E102" s="9" t="s">
        <v>174</v>
      </c>
      <c r="F102" s="9" t="s">
        <v>53</v>
      </c>
      <c r="G102" s="9"/>
      <c r="H102" s="9" t="s">
        <v>176</v>
      </c>
      <c r="I102" s="35">
        <v>5</v>
      </c>
      <c r="J102" s="9"/>
      <c r="K102" s="9" t="s">
        <v>746</v>
      </c>
      <c r="L102" s="9" t="s">
        <v>269</v>
      </c>
      <c r="M102" s="42"/>
    </row>
    <row r="103" spans="1:13" ht="20" hidden="1" customHeight="1">
      <c r="A103" s="9" t="s">
        <v>747</v>
      </c>
      <c r="B103" s="9" t="s">
        <v>267</v>
      </c>
      <c r="C103" s="9" t="s">
        <v>748</v>
      </c>
      <c r="D103" s="9" t="s">
        <v>351</v>
      </c>
      <c r="E103" s="9" t="s">
        <v>174</v>
      </c>
      <c r="F103" s="9" t="s">
        <v>53</v>
      </c>
      <c r="G103" s="9"/>
      <c r="H103" s="9" t="s">
        <v>176</v>
      </c>
      <c r="I103" s="35">
        <v>5</v>
      </c>
      <c r="J103" s="9"/>
      <c r="K103" s="9" t="s">
        <v>749</v>
      </c>
      <c r="L103" s="9" t="s">
        <v>269</v>
      </c>
      <c r="M103" s="42"/>
    </row>
    <row r="104" spans="1:13" ht="20" hidden="1" customHeight="1">
      <c r="A104" s="9" t="s">
        <v>750</v>
      </c>
      <c r="B104" s="9" t="s">
        <v>267</v>
      </c>
      <c r="C104" s="9" t="s">
        <v>751</v>
      </c>
      <c r="D104" s="9" t="s">
        <v>347</v>
      </c>
      <c r="E104" s="9" t="s">
        <v>174</v>
      </c>
      <c r="F104" s="9" t="s">
        <v>53</v>
      </c>
      <c r="G104" s="9"/>
      <c r="H104" s="9" t="s">
        <v>176</v>
      </c>
      <c r="I104" s="35">
        <v>3</v>
      </c>
      <c r="J104" s="9"/>
      <c r="K104" s="9" t="s">
        <v>752</v>
      </c>
      <c r="L104" s="9" t="s">
        <v>272</v>
      </c>
      <c r="M104" s="42"/>
    </row>
    <row r="105" spans="1:13" ht="20" hidden="1" customHeight="1">
      <c r="A105" s="9" t="s">
        <v>753</v>
      </c>
      <c r="B105" s="9" t="s">
        <v>267</v>
      </c>
      <c r="C105" s="9" t="s">
        <v>754</v>
      </c>
      <c r="D105" s="9" t="s">
        <v>347</v>
      </c>
      <c r="E105" s="9" t="s">
        <v>174</v>
      </c>
      <c r="F105" s="9" t="s">
        <v>53</v>
      </c>
      <c r="G105" s="9"/>
      <c r="H105" s="9" t="s">
        <v>176</v>
      </c>
      <c r="I105" s="35">
        <v>3</v>
      </c>
      <c r="J105" s="9"/>
      <c r="K105" s="9" t="s">
        <v>755</v>
      </c>
      <c r="L105" s="9" t="s">
        <v>272</v>
      </c>
      <c r="M105" s="42"/>
    </row>
    <row r="106" spans="1:13" ht="20" hidden="1" customHeight="1">
      <c r="A106" s="9" t="s">
        <v>756</v>
      </c>
      <c r="B106" s="9" t="s">
        <v>267</v>
      </c>
      <c r="C106" s="9" t="s">
        <v>757</v>
      </c>
      <c r="D106" s="9" t="s">
        <v>347</v>
      </c>
      <c r="E106" s="9" t="s">
        <v>174</v>
      </c>
      <c r="F106" s="9" t="s">
        <v>53</v>
      </c>
      <c r="G106" s="9"/>
      <c r="H106" s="9" t="s">
        <v>176</v>
      </c>
      <c r="I106" s="35">
        <v>3</v>
      </c>
      <c r="J106" s="9"/>
      <c r="K106" s="9" t="s">
        <v>758</v>
      </c>
      <c r="L106" s="9" t="s">
        <v>272</v>
      </c>
      <c r="M106" s="42"/>
    </row>
    <row r="107" spans="1:13" ht="20" hidden="1" customHeight="1">
      <c r="A107" s="9" t="s">
        <v>759</v>
      </c>
      <c r="B107" s="9" t="s">
        <v>267</v>
      </c>
      <c r="C107" s="9" t="s">
        <v>760</v>
      </c>
      <c r="D107" s="9" t="s">
        <v>351</v>
      </c>
      <c r="E107" s="9" t="s">
        <v>174</v>
      </c>
      <c r="F107" s="9" t="s">
        <v>53</v>
      </c>
      <c r="G107" s="9"/>
      <c r="H107" s="9" t="s">
        <v>176</v>
      </c>
      <c r="I107" s="35">
        <v>3</v>
      </c>
      <c r="J107" s="9"/>
      <c r="K107" s="9" t="s">
        <v>761</v>
      </c>
      <c r="L107" s="9" t="s">
        <v>275</v>
      </c>
      <c r="M107" s="42"/>
    </row>
    <row r="108" spans="1:13" ht="20" hidden="1" customHeight="1">
      <c r="A108" s="9" t="s">
        <v>762</v>
      </c>
      <c r="B108" s="9" t="s">
        <v>267</v>
      </c>
      <c r="C108" s="9" t="s">
        <v>763</v>
      </c>
      <c r="D108" s="9" t="s">
        <v>351</v>
      </c>
      <c r="E108" s="9" t="s">
        <v>174</v>
      </c>
      <c r="F108" s="9" t="s">
        <v>53</v>
      </c>
      <c r="G108" s="9"/>
      <c r="H108" s="9" t="s">
        <v>176</v>
      </c>
      <c r="I108" s="35">
        <v>5</v>
      </c>
      <c r="J108" s="9"/>
      <c r="K108" s="9" t="s">
        <v>764</v>
      </c>
      <c r="L108" s="9" t="s">
        <v>275</v>
      </c>
      <c r="M108" s="42"/>
    </row>
    <row r="109" spans="1:13" ht="20" hidden="1" customHeight="1">
      <c r="A109" s="9" t="s">
        <v>765</v>
      </c>
      <c r="B109" s="9" t="s">
        <v>267</v>
      </c>
      <c r="C109" s="9" t="s">
        <v>766</v>
      </c>
      <c r="D109" s="9" t="s">
        <v>351</v>
      </c>
      <c r="E109" s="9" t="s">
        <v>174</v>
      </c>
      <c r="F109" s="9" t="s">
        <v>53</v>
      </c>
      <c r="G109" s="9"/>
      <c r="H109" s="9" t="s">
        <v>176</v>
      </c>
      <c r="I109" s="35">
        <v>5</v>
      </c>
      <c r="J109" s="9"/>
      <c r="K109" s="9" t="s">
        <v>767</v>
      </c>
      <c r="L109" s="9" t="s">
        <v>275</v>
      </c>
      <c r="M109" s="42"/>
    </row>
    <row r="110" spans="1:13" ht="20" hidden="1" customHeight="1">
      <c r="A110" s="9" t="s">
        <v>768</v>
      </c>
      <c r="B110" s="9" t="s">
        <v>281</v>
      </c>
      <c r="C110" s="9" t="s">
        <v>769</v>
      </c>
      <c r="D110" s="9" t="s">
        <v>347</v>
      </c>
      <c r="E110" s="9" t="s">
        <v>280</v>
      </c>
      <c r="F110" s="9" t="s">
        <v>53</v>
      </c>
      <c r="G110" s="9"/>
      <c r="H110" s="9" t="s">
        <v>176</v>
      </c>
      <c r="I110" s="35">
        <v>2</v>
      </c>
      <c r="J110" s="9"/>
      <c r="K110" s="9" t="s">
        <v>770</v>
      </c>
      <c r="L110" s="9" t="s">
        <v>278</v>
      </c>
      <c r="M110" s="42"/>
    </row>
    <row r="111" spans="1:13" ht="20" hidden="1" customHeight="1">
      <c r="A111" s="9" t="s">
        <v>771</v>
      </c>
      <c r="B111" s="9" t="s">
        <v>281</v>
      </c>
      <c r="C111" s="9" t="s">
        <v>772</v>
      </c>
      <c r="D111" s="9" t="s">
        <v>347</v>
      </c>
      <c r="E111" s="9" t="s">
        <v>280</v>
      </c>
      <c r="F111" s="9" t="s">
        <v>53</v>
      </c>
      <c r="G111" s="9"/>
      <c r="H111" s="9" t="s">
        <v>176</v>
      </c>
      <c r="I111" s="35">
        <v>5</v>
      </c>
      <c r="J111" s="9"/>
      <c r="K111" s="9" t="s">
        <v>773</v>
      </c>
      <c r="L111" s="9" t="s">
        <v>278</v>
      </c>
      <c r="M111" s="42"/>
    </row>
    <row r="112" spans="1:13" ht="20" hidden="1" customHeight="1">
      <c r="A112" s="9" t="s">
        <v>774</v>
      </c>
      <c r="B112" s="9" t="s">
        <v>281</v>
      </c>
      <c r="C112" s="9" t="s">
        <v>775</v>
      </c>
      <c r="D112" s="9" t="s">
        <v>347</v>
      </c>
      <c r="E112" s="9" t="s">
        <v>280</v>
      </c>
      <c r="F112" s="9" t="s">
        <v>53</v>
      </c>
      <c r="G112" s="9"/>
      <c r="H112" s="9" t="s">
        <v>176</v>
      </c>
      <c r="I112" s="35">
        <v>3</v>
      </c>
      <c r="J112" s="9"/>
      <c r="K112" s="9" t="s">
        <v>776</v>
      </c>
      <c r="L112" s="9" t="s">
        <v>278</v>
      </c>
      <c r="M112" s="42"/>
    </row>
    <row r="113" spans="1:13" ht="20" hidden="1" customHeight="1">
      <c r="A113" s="9" t="s">
        <v>777</v>
      </c>
      <c r="B113" s="9" t="s">
        <v>281</v>
      </c>
      <c r="C113" s="9" t="s">
        <v>778</v>
      </c>
      <c r="D113" s="9" t="s">
        <v>351</v>
      </c>
      <c r="E113" s="9" t="s">
        <v>280</v>
      </c>
      <c r="F113" s="9" t="s">
        <v>53</v>
      </c>
      <c r="G113" s="9"/>
      <c r="H113" s="9" t="s">
        <v>176</v>
      </c>
      <c r="I113" s="35">
        <v>3</v>
      </c>
      <c r="J113" s="9"/>
      <c r="K113" s="9" t="s">
        <v>779</v>
      </c>
      <c r="L113" s="9" t="s">
        <v>278</v>
      </c>
      <c r="M113" s="42"/>
    </row>
    <row r="114" spans="1:13" ht="20" hidden="1" customHeight="1">
      <c r="A114" s="9" t="s">
        <v>780</v>
      </c>
      <c r="B114" s="9" t="s">
        <v>281</v>
      </c>
      <c r="C114" s="9" t="s">
        <v>781</v>
      </c>
      <c r="D114" s="9" t="s">
        <v>351</v>
      </c>
      <c r="E114" s="9" t="s">
        <v>280</v>
      </c>
      <c r="F114" s="9" t="s">
        <v>53</v>
      </c>
      <c r="G114" s="9"/>
      <c r="H114" s="9" t="s">
        <v>176</v>
      </c>
      <c r="I114" s="35">
        <v>3</v>
      </c>
      <c r="J114" s="9"/>
      <c r="K114" s="9" t="s">
        <v>782</v>
      </c>
      <c r="L114" s="9" t="s">
        <v>284</v>
      </c>
      <c r="M114" s="42"/>
    </row>
    <row r="115" spans="1:13" ht="32" hidden="1" customHeight="1">
      <c r="A115" s="9" t="s">
        <v>783</v>
      </c>
      <c r="B115" s="9" t="s">
        <v>281</v>
      </c>
      <c r="C115" s="9" t="s">
        <v>784</v>
      </c>
      <c r="D115" s="9" t="s">
        <v>351</v>
      </c>
      <c r="E115" s="9" t="s">
        <v>280</v>
      </c>
      <c r="F115" s="9" t="s">
        <v>53</v>
      </c>
      <c r="G115" s="9"/>
      <c r="H115" s="9" t="s">
        <v>176</v>
      </c>
      <c r="I115" s="35">
        <v>3</v>
      </c>
      <c r="J115" s="9"/>
      <c r="K115" s="9" t="s">
        <v>785</v>
      </c>
      <c r="L115" s="9" t="s">
        <v>284</v>
      </c>
      <c r="M115" s="42"/>
    </row>
    <row r="116" spans="1:13" ht="20" hidden="1" customHeight="1">
      <c r="A116" s="9" t="s">
        <v>786</v>
      </c>
      <c r="B116" s="9" t="s">
        <v>281</v>
      </c>
      <c r="C116" s="9" t="s">
        <v>787</v>
      </c>
      <c r="D116" s="9" t="s">
        <v>351</v>
      </c>
      <c r="E116" s="9" t="s">
        <v>280</v>
      </c>
      <c r="F116" s="9" t="s">
        <v>53</v>
      </c>
      <c r="G116" s="9"/>
      <c r="H116" s="9" t="s">
        <v>176</v>
      </c>
      <c r="I116" s="35">
        <v>2</v>
      </c>
      <c r="J116" s="9"/>
      <c r="K116" s="9" t="s">
        <v>788</v>
      </c>
      <c r="L116" s="9" t="s">
        <v>284</v>
      </c>
      <c r="M116" s="42"/>
    </row>
    <row r="117" spans="1:13" ht="20" hidden="1" customHeight="1">
      <c r="A117" s="9" t="s">
        <v>789</v>
      </c>
      <c r="B117" s="9" t="s">
        <v>281</v>
      </c>
      <c r="C117" s="9" t="s">
        <v>790</v>
      </c>
      <c r="D117" s="9" t="s">
        <v>347</v>
      </c>
      <c r="E117" s="9" t="s">
        <v>280</v>
      </c>
      <c r="F117" s="9" t="s">
        <v>53</v>
      </c>
      <c r="G117" s="9"/>
      <c r="H117" s="9" t="s">
        <v>176</v>
      </c>
      <c r="I117" s="35">
        <v>3</v>
      </c>
      <c r="J117" s="9"/>
      <c r="K117" s="9" t="s">
        <v>791</v>
      </c>
      <c r="L117" s="9" t="s">
        <v>288</v>
      </c>
      <c r="M117" s="42"/>
    </row>
    <row r="118" spans="1:13" ht="32" hidden="1" customHeight="1">
      <c r="A118" s="9" t="s">
        <v>792</v>
      </c>
      <c r="B118" s="9" t="s">
        <v>281</v>
      </c>
      <c r="C118" s="9" t="s">
        <v>793</v>
      </c>
      <c r="D118" s="9" t="s">
        <v>347</v>
      </c>
      <c r="E118" s="9" t="s">
        <v>280</v>
      </c>
      <c r="F118" s="9" t="s">
        <v>53</v>
      </c>
      <c r="G118" s="9"/>
      <c r="H118" s="9" t="s">
        <v>176</v>
      </c>
      <c r="I118" s="35">
        <v>3</v>
      </c>
      <c r="J118" s="9"/>
      <c r="K118" s="9" t="s">
        <v>794</v>
      </c>
      <c r="L118" s="9" t="s">
        <v>288</v>
      </c>
      <c r="M118" s="42"/>
    </row>
    <row r="119" spans="1:13" ht="20" hidden="1" customHeight="1">
      <c r="A119" s="9" t="s">
        <v>795</v>
      </c>
      <c r="B119" s="9" t="s">
        <v>281</v>
      </c>
      <c r="C119" s="9" t="s">
        <v>796</v>
      </c>
      <c r="D119" s="9" t="s">
        <v>351</v>
      </c>
      <c r="E119" s="9" t="s">
        <v>280</v>
      </c>
      <c r="F119" s="9" t="s">
        <v>53</v>
      </c>
      <c r="G119" s="9"/>
      <c r="H119" s="9" t="s">
        <v>176</v>
      </c>
      <c r="I119" s="35">
        <v>3</v>
      </c>
      <c r="J119" s="9"/>
      <c r="K119" s="9" t="s">
        <v>797</v>
      </c>
      <c r="L119" s="9" t="s">
        <v>288</v>
      </c>
      <c r="M119" s="42"/>
    </row>
    <row r="120" spans="1:13" ht="20" hidden="1" customHeight="1">
      <c r="A120" s="9" t="s">
        <v>798</v>
      </c>
      <c r="B120" s="9" t="s">
        <v>294</v>
      </c>
      <c r="C120" s="9" t="s">
        <v>799</v>
      </c>
      <c r="D120" s="9" t="s">
        <v>472</v>
      </c>
      <c r="E120" s="9" t="s">
        <v>174</v>
      </c>
      <c r="F120" s="9" t="s">
        <v>53</v>
      </c>
      <c r="G120" s="9"/>
      <c r="H120" s="9" t="s">
        <v>295</v>
      </c>
      <c r="I120" s="35">
        <v>3</v>
      </c>
      <c r="J120" s="9"/>
      <c r="K120" s="9" t="s">
        <v>800</v>
      </c>
      <c r="L120" s="9" t="s">
        <v>291</v>
      </c>
      <c r="M120" s="42"/>
    </row>
    <row r="121" spans="1:13" ht="20" hidden="1" customHeight="1">
      <c r="A121" s="9" t="s">
        <v>801</v>
      </c>
      <c r="B121" s="9" t="s">
        <v>294</v>
      </c>
      <c r="C121" s="9" t="s">
        <v>802</v>
      </c>
      <c r="D121" s="9" t="s">
        <v>472</v>
      </c>
      <c r="E121" s="9" t="s">
        <v>174</v>
      </c>
      <c r="F121" s="9" t="s">
        <v>53</v>
      </c>
      <c r="G121" s="9"/>
      <c r="H121" s="9" t="s">
        <v>295</v>
      </c>
      <c r="I121" s="35">
        <v>2</v>
      </c>
      <c r="J121" s="9"/>
      <c r="K121" s="9" t="s">
        <v>803</v>
      </c>
      <c r="L121" s="9" t="s">
        <v>291</v>
      </c>
      <c r="M121" s="42"/>
    </row>
    <row r="122" spans="1:13" ht="20" hidden="1" customHeight="1">
      <c r="A122" s="9" t="s">
        <v>804</v>
      </c>
      <c r="B122" s="9" t="s">
        <v>294</v>
      </c>
      <c r="C122" s="9" t="s">
        <v>805</v>
      </c>
      <c r="D122" s="9" t="s">
        <v>472</v>
      </c>
      <c r="E122" s="9" t="s">
        <v>174</v>
      </c>
      <c r="F122" s="9" t="s">
        <v>53</v>
      </c>
      <c r="G122" s="9"/>
      <c r="H122" s="9" t="s">
        <v>295</v>
      </c>
      <c r="I122" s="35">
        <v>3</v>
      </c>
      <c r="J122" s="9"/>
      <c r="K122" s="9" t="s">
        <v>806</v>
      </c>
      <c r="L122" s="9" t="s">
        <v>291</v>
      </c>
      <c r="M122" s="42"/>
    </row>
    <row r="123" spans="1:13" ht="20" hidden="1" customHeight="1">
      <c r="A123" s="9" t="s">
        <v>807</v>
      </c>
      <c r="B123" s="9" t="s">
        <v>294</v>
      </c>
      <c r="C123" s="9" t="s">
        <v>808</v>
      </c>
      <c r="D123" s="9" t="s">
        <v>472</v>
      </c>
      <c r="E123" s="9" t="s">
        <v>174</v>
      </c>
      <c r="F123" s="9" t="s">
        <v>53</v>
      </c>
      <c r="G123" s="9"/>
      <c r="H123" s="9" t="s">
        <v>295</v>
      </c>
      <c r="I123" s="35">
        <v>2</v>
      </c>
      <c r="J123" s="9"/>
      <c r="K123" s="9" t="s">
        <v>809</v>
      </c>
      <c r="L123" s="9" t="s">
        <v>291</v>
      </c>
      <c r="M123" s="42"/>
    </row>
    <row r="124" spans="1:13" ht="20" hidden="1" customHeight="1">
      <c r="A124" s="9" t="s">
        <v>810</v>
      </c>
      <c r="B124" s="9" t="s">
        <v>294</v>
      </c>
      <c r="C124" s="9" t="s">
        <v>811</v>
      </c>
      <c r="D124" s="9" t="s">
        <v>355</v>
      </c>
      <c r="E124" s="9" t="s">
        <v>174</v>
      </c>
      <c r="F124" s="9" t="s">
        <v>53</v>
      </c>
      <c r="G124" s="9"/>
      <c r="H124" s="9" t="s">
        <v>176</v>
      </c>
      <c r="I124" s="35">
        <v>3</v>
      </c>
      <c r="J124" s="9"/>
      <c r="K124" s="9" t="s">
        <v>812</v>
      </c>
      <c r="L124" s="9" t="s">
        <v>297</v>
      </c>
      <c r="M124" s="42"/>
    </row>
    <row r="125" spans="1:13" ht="20" hidden="1" customHeight="1">
      <c r="A125" s="9" t="s">
        <v>813</v>
      </c>
      <c r="B125" s="9" t="s">
        <v>294</v>
      </c>
      <c r="C125" s="9" t="s">
        <v>814</v>
      </c>
      <c r="D125" s="9" t="s">
        <v>355</v>
      </c>
      <c r="E125" s="9" t="s">
        <v>174</v>
      </c>
      <c r="F125" s="9" t="s">
        <v>53</v>
      </c>
      <c r="G125" s="9"/>
      <c r="H125" s="9" t="s">
        <v>176</v>
      </c>
      <c r="I125" s="35">
        <v>3</v>
      </c>
      <c r="J125" s="9"/>
      <c r="K125" s="9" t="s">
        <v>815</v>
      </c>
      <c r="L125" s="9" t="s">
        <v>297</v>
      </c>
      <c r="M125" s="42"/>
    </row>
    <row r="126" spans="1:13" ht="20" hidden="1" customHeight="1">
      <c r="A126" s="9" t="s">
        <v>816</v>
      </c>
      <c r="B126" s="9" t="s">
        <v>294</v>
      </c>
      <c r="C126" s="9" t="s">
        <v>817</v>
      </c>
      <c r="D126" s="9" t="s">
        <v>355</v>
      </c>
      <c r="E126" s="9" t="s">
        <v>174</v>
      </c>
      <c r="F126" s="9" t="s">
        <v>53</v>
      </c>
      <c r="G126" s="9"/>
      <c r="H126" s="9" t="s">
        <v>176</v>
      </c>
      <c r="I126" s="35">
        <v>2</v>
      </c>
      <c r="J126" s="9"/>
      <c r="K126" s="9" t="s">
        <v>818</v>
      </c>
      <c r="L126" s="9" t="s">
        <v>297</v>
      </c>
      <c r="M126" s="42"/>
    </row>
    <row r="127" spans="1:13" ht="20" hidden="1" customHeight="1">
      <c r="A127" s="9" t="s">
        <v>819</v>
      </c>
      <c r="B127" s="9" t="s">
        <v>294</v>
      </c>
      <c r="C127" s="9" t="s">
        <v>820</v>
      </c>
      <c r="D127" s="9" t="s">
        <v>378</v>
      </c>
      <c r="E127" s="9" t="s">
        <v>280</v>
      </c>
      <c r="F127" s="9" t="s">
        <v>53</v>
      </c>
      <c r="G127" s="9"/>
      <c r="H127" s="9" t="s">
        <v>302</v>
      </c>
      <c r="I127" s="35">
        <v>3</v>
      </c>
      <c r="J127" s="9"/>
      <c r="K127" s="9" t="s">
        <v>821</v>
      </c>
      <c r="L127" s="9" t="s">
        <v>300</v>
      </c>
      <c r="M127" s="42"/>
    </row>
    <row r="128" spans="1:13" ht="20" hidden="1" customHeight="1">
      <c r="A128" s="9" t="s">
        <v>822</v>
      </c>
      <c r="B128" s="9" t="s">
        <v>294</v>
      </c>
      <c r="C128" s="9" t="s">
        <v>823</v>
      </c>
      <c r="D128" s="9" t="s">
        <v>378</v>
      </c>
      <c r="E128" s="9" t="s">
        <v>280</v>
      </c>
      <c r="F128" s="9" t="s">
        <v>53</v>
      </c>
      <c r="G128" s="9"/>
      <c r="H128" s="9" t="s">
        <v>302</v>
      </c>
      <c r="I128" s="35">
        <v>3</v>
      </c>
      <c r="J128" s="9"/>
      <c r="K128" s="9" t="s">
        <v>824</v>
      </c>
      <c r="L128" s="9" t="s">
        <v>300</v>
      </c>
      <c r="M128" s="42"/>
    </row>
    <row r="129" spans="1:13" ht="20" hidden="1" customHeight="1">
      <c r="A129" s="9" t="s">
        <v>825</v>
      </c>
      <c r="B129" s="9" t="s">
        <v>294</v>
      </c>
      <c r="C129" s="9" t="s">
        <v>826</v>
      </c>
      <c r="D129" s="9" t="s">
        <v>378</v>
      </c>
      <c r="E129" s="9" t="s">
        <v>280</v>
      </c>
      <c r="F129" s="9" t="s">
        <v>53</v>
      </c>
      <c r="G129" s="9"/>
      <c r="H129" s="9" t="s">
        <v>302</v>
      </c>
      <c r="I129" s="35">
        <v>3</v>
      </c>
      <c r="J129" s="9"/>
      <c r="K129" s="9" t="s">
        <v>827</v>
      </c>
      <c r="L129" s="9" t="s">
        <v>300</v>
      </c>
      <c r="M129" s="42"/>
    </row>
    <row r="130" spans="1:13" ht="20" hidden="1" customHeight="1">
      <c r="A130" s="9" t="s">
        <v>828</v>
      </c>
      <c r="B130" s="9" t="s">
        <v>294</v>
      </c>
      <c r="C130" s="9" t="s">
        <v>829</v>
      </c>
      <c r="D130" s="9" t="s">
        <v>378</v>
      </c>
      <c r="E130" s="9" t="s">
        <v>280</v>
      </c>
      <c r="F130" s="9" t="s">
        <v>53</v>
      </c>
      <c r="G130" s="9"/>
      <c r="H130" s="9" t="s">
        <v>302</v>
      </c>
      <c r="I130" s="35">
        <v>2</v>
      </c>
      <c r="J130" s="9"/>
      <c r="K130" s="9" t="s">
        <v>830</v>
      </c>
      <c r="L130" s="9" t="s">
        <v>300</v>
      </c>
      <c r="M130" s="42"/>
    </row>
    <row r="131" spans="1:13" ht="20" hidden="1" customHeight="1">
      <c r="A131" s="9" t="s">
        <v>831</v>
      </c>
      <c r="B131" s="9" t="s">
        <v>294</v>
      </c>
      <c r="C131" s="9" t="s">
        <v>832</v>
      </c>
      <c r="D131" s="9" t="s">
        <v>378</v>
      </c>
      <c r="E131" s="9" t="s">
        <v>280</v>
      </c>
      <c r="F131" s="9" t="s">
        <v>53</v>
      </c>
      <c r="G131" s="9"/>
      <c r="H131" s="9" t="s">
        <v>302</v>
      </c>
      <c r="I131" s="35">
        <v>2</v>
      </c>
      <c r="J131" s="9"/>
      <c r="K131" s="9" t="s">
        <v>833</v>
      </c>
      <c r="L131" s="9" t="s">
        <v>300</v>
      </c>
      <c r="M131" s="42"/>
    </row>
    <row r="132" spans="1:13" ht="20" hidden="1" customHeight="1">
      <c r="A132" s="9" t="s">
        <v>834</v>
      </c>
      <c r="B132" s="9" t="s">
        <v>294</v>
      </c>
      <c r="C132" s="9" t="s">
        <v>835</v>
      </c>
      <c r="D132" s="9" t="s">
        <v>359</v>
      </c>
      <c r="E132" s="9" t="s">
        <v>174</v>
      </c>
      <c r="F132" s="9" t="s">
        <v>53</v>
      </c>
      <c r="G132" s="9"/>
      <c r="H132" s="9" t="s">
        <v>176</v>
      </c>
      <c r="I132" s="35">
        <v>2</v>
      </c>
      <c r="J132" s="9"/>
      <c r="K132" s="9" t="s">
        <v>836</v>
      </c>
      <c r="L132" s="9" t="s">
        <v>304</v>
      </c>
      <c r="M132" s="42"/>
    </row>
    <row r="133" spans="1:13" ht="32" hidden="1" customHeight="1">
      <c r="A133" s="9" t="s">
        <v>837</v>
      </c>
      <c r="B133" s="9" t="s">
        <v>294</v>
      </c>
      <c r="C133" s="9" t="s">
        <v>838</v>
      </c>
      <c r="D133" s="9" t="s">
        <v>359</v>
      </c>
      <c r="E133" s="9" t="s">
        <v>174</v>
      </c>
      <c r="F133" s="9" t="s">
        <v>53</v>
      </c>
      <c r="G133" s="9"/>
      <c r="H133" s="9" t="s">
        <v>176</v>
      </c>
      <c r="I133" s="35">
        <v>2</v>
      </c>
      <c r="J133" s="9"/>
      <c r="K133" s="9" t="s">
        <v>839</v>
      </c>
      <c r="L133" s="9" t="s">
        <v>304</v>
      </c>
      <c r="M133" s="42"/>
    </row>
    <row r="134" spans="1:13" ht="20" hidden="1" customHeight="1">
      <c r="A134" s="9" t="s">
        <v>840</v>
      </c>
      <c r="B134" s="9" t="s">
        <v>294</v>
      </c>
      <c r="C134" s="9" t="s">
        <v>841</v>
      </c>
      <c r="D134" s="9" t="s">
        <v>359</v>
      </c>
      <c r="E134" s="9" t="s">
        <v>174</v>
      </c>
      <c r="F134" s="9" t="s">
        <v>53</v>
      </c>
      <c r="G134" s="9"/>
      <c r="H134" s="9" t="s">
        <v>302</v>
      </c>
      <c r="I134" s="35">
        <v>2</v>
      </c>
      <c r="J134" s="9"/>
      <c r="K134" s="9" t="s">
        <v>842</v>
      </c>
      <c r="L134" s="9" t="s">
        <v>304</v>
      </c>
      <c r="M134" s="42"/>
    </row>
    <row r="135" spans="1:13" ht="32" hidden="1" customHeight="1">
      <c r="A135" s="9" t="s">
        <v>843</v>
      </c>
      <c r="B135" s="9" t="s">
        <v>294</v>
      </c>
      <c r="C135" s="9" t="s">
        <v>844</v>
      </c>
      <c r="D135" s="9" t="s">
        <v>359</v>
      </c>
      <c r="E135" s="9" t="s">
        <v>174</v>
      </c>
      <c r="F135" s="9" t="s">
        <v>53</v>
      </c>
      <c r="G135" s="9"/>
      <c r="H135" s="9" t="s">
        <v>302</v>
      </c>
      <c r="I135" s="35">
        <v>2</v>
      </c>
      <c r="J135" s="9"/>
      <c r="K135" s="9" t="s">
        <v>845</v>
      </c>
      <c r="L135" s="9" t="s">
        <v>304</v>
      </c>
      <c r="M135" s="42"/>
    </row>
    <row r="136" spans="1:13">
      <c r="A136" s="1"/>
      <c r="B136" s="1"/>
      <c r="C136" s="1"/>
      <c r="D136" s="1"/>
      <c r="E136" s="1"/>
      <c r="F136" s="1"/>
      <c r="G136" s="9"/>
      <c r="H136" s="1"/>
      <c r="I136" s="30"/>
      <c r="J136" s="1"/>
      <c r="K136" s="1"/>
      <c r="L136" s="1"/>
      <c r="M136" s="1"/>
    </row>
    <row r="137" spans="1:13">
      <c r="A137" s="1"/>
      <c r="B137" s="1"/>
      <c r="C137" s="1"/>
      <c r="D137" s="1"/>
      <c r="E137" s="1"/>
      <c r="F137" s="1"/>
      <c r="G137" s="9"/>
      <c r="H137" s="1"/>
      <c r="I137" s="30"/>
      <c r="J137" s="1"/>
      <c r="K137" s="1"/>
      <c r="L137" s="1"/>
      <c r="M137" s="1"/>
    </row>
    <row r="138" spans="1:13">
      <c r="A138" s="1"/>
      <c r="B138" s="1"/>
      <c r="C138" s="1"/>
      <c r="D138" s="1"/>
      <c r="E138" s="1"/>
      <c r="F138" s="1"/>
      <c r="G138" s="9"/>
      <c r="H138" s="1"/>
      <c r="I138" s="30"/>
      <c r="J138" s="1"/>
      <c r="K138" s="1"/>
      <c r="L138" s="1"/>
      <c r="M138" s="1"/>
    </row>
    <row r="139" spans="1:13">
      <c r="A139" s="1"/>
      <c r="B139" s="1"/>
      <c r="C139" s="1"/>
      <c r="D139" s="1"/>
      <c r="E139" s="1"/>
      <c r="F139" s="1"/>
      <c r="G139" s="9"/>
      <c r="H139" s="1"/>
      <c r="I139" s="30"/>
      <c r="J139" s="1"/>
      <c r="K139" s="1"/>
      <c r="L139" s="1"/>
      <c r="M139" s="1"/>
    </row>
    <row r="140" spans="1:13">
      <c r="A140" s="1"/>
      <c r="B140" s="1"/>
      <c r="C140" s="1"/>
      <c r="D140" s="1"/>
      <c r="E140" s="1"/>
      <c r="F140" s="1"/>
      <c r="G140" s="9"/>
      <c r="H140" s="1"/>
      <c r="I140" s="30"/>
      <c r="J140" s="1"/>
      <c r="K140" s="1"/>
      <c r="L140" s="1"/>
      <c r="M140" s="1"/>
    </row>
    <row r="141" spans="1:13">
      <c r="A141" s="1"/>
      <c r="B141" s="1"/>
      <c r="C141" s="1"/>
      <c r="D141" s="1"/>
      <c r="E141" s="1"/>
      <c r="F141" s="1"/>
      <c r="G141" s="9"/>
      <c r="H141" s="1"/>
      <c r="I141" s="30"/>
      <c r="J141" s="1"/>
      <c r="K141" s="1"/>
      <c r="L141" s="1"/>
      <c r="M141" s="1"/>
    </row>
    <row r="142" spans="1:13">
      <c r="A142" s="1"/>
      <c r="B142" s="1"/>
      <c r="C142" s="1"/>
      <c r="D142" s="1"/>
      <c r="E142" s="1"/>
      <c r="F142" s="1"/>
      <c r="G142" s="9"/>
      <c r="H142" s="1"/>
      <c r="I142" s="30"/>
      <c r="J142" s="1"/>
      <c r="K142" s="1"/>
      <c r="L142" s="1"/>
      <c r="M142" s="1"/>
    </row>
    <row r="143" spans="1:13">
      <c r="A143" s="1"/>
      <c r="B143" s="1"/>
      <c r="C143" s="1"/>
      <c r="D143" s="1"/>
      <c r="E143" s="1"/>
      <c r="F143" s="1"/>
      <c r="G143" s="9"/>
      <c r="H143" s="1"/>
      <c r="I143" s="30"/>
      <c r="J143" s="1"/>
      <c r="K143" s="1"/>
      <c r="L143" s="1"/>
      <c r="M143" s="1"/>
    </row>
    <row r="144" spans="1:13">
      <c r="A144" s="1"/>
      <c r="B144" s="1"/>
      <c r="C144" s="1"/>
      <c r="D144" s="1"/>
      <c r="E144" s="1"/>
      <c r="F144" s="1"/>
      <c r="G144" s="9"/>
      <c r="H144" s="1"/>
      <c r="I144" s="30"/>
      <c r="J144" s="1"/>
      <c r="K144" s="1"/>
      <c r="L144" s="1"/>
      <c r="M144" s="1"/>
    </row>
    <row r="145" spans="1:13">
      <c r="A145" s="1"/>
      <c r="B145" s="1"/>
      <c r="C145" s="1"/>
      <c r="D145" s="1"/>
      <c r="E145" s="1"/>
      <c r="F145" s="1"/>
      <c r="G145" s="9"/>
      <c r="H145" s="1"/>
      <c r="I145" s="30"/>
      <c r="J145" s="1"/>
      <c r="K145" s="1"/>
      <c r="L145" s="1"/>
      <c r="M145" s="1"/>
    </row>
    <row r="146" spans="1:13">
      <c r="A146" s="1"/>
      <c r="B146" s="1"/>
      <c r="C146" s="1"/>
      <c r="D146" s="1"/>
      <c r="E146" s="1"/>
      <c r="F146" s="1"/>
      <c r="G146" s="9"/>
      <c r="H146" s="1"/>
      <c r="I146" s="30"/>
      <c r="J146" s="1"/>
      <c r="K146" s="1"/>
      <c r="L146" s="1"/>
      <c r="M146" s="1"/>
    </row>
    <row r="147" spans="1:13">
      <c r="A147" s="1"/>
      <c r="B147" s="1"/>
      <c r="C147" s="1"/>
      <c r="D147" s="1"/>
      <c r="E147" s="1"/>
      <c r="F147" s="1"/>
      <c r="G147" s="9"/>
      <c r="H147" s="1"/>
      <c r="I147" s="30"/>
      <c r="J147" s="1"/>
      <c r="K147" s="1"/>
      <c r="L147" s="1"/>
      <c r="M147" s="1"/>
    </row>
    <row r="148" spans="1:13">
      <c r="A148" s="1"/>
      <c r="B148" s="1"/>
      <c r="C148" s="1"/>
      <c r="D148" s="1"/>
      <c r="E148" s="1"/>
      <c r="F148" s="1"/>
      <c r="G148" s="9"/>
      <c r="H148" s="1"/>
      <c r="I148" s="30"/>
      <c r="J148" s="1"/>
      <c r="K148" s="1"/>
      <c r="L148" s="1"/>
      <c r="M148" s="1"/>
    </row>
    <row r="149" spans="1:13">
      <c r="A149" s="1"/>
      <c r="B149" s="1"/>
      <c r="C149" s="1"/>
      <c r="D149" s="1"/>
      <c r="E149" s="1"/>
      <c r="F149" s="1"/>
      <c r="G149" s="9"/>
      <c r="H149" s="1"/>
      <c r="I149" s="30"/>
      <c r="J149" s="1"/>
      <c r="K149" s="1"/>
      <c r="L149" s="1"/>
      <c r="M149" s="1"/>
    </row>
    <row r="150" spans="1:13">
      <c r="A150" s="1"/>
      <c r="B150" s="1"/>
      <c r="C150" s="1"/>
      <c r="D150" s="1"/>
      <c r="E150" s="1"/>
      <c r="F150" s="1"/>
      <c r="G150" s="9"/>
      <c r="H150" s="1"/>
      <c r="I150" s="30"/>
      <c r="J150" s="1"/>
      <c r="K150" s="1"/>
      <c r="L150" s="1"/>
      <c r="M150" s="1"/>
    </row>
    <row r="151" spans="1:13">
      <c r="A151" s="1"/>
      <c r="B151" s="1"/>
      <c r="C151" s="1"/>
      <c r="D151" s="1"/>
      <c r="E151" s="1"/>
      <c r="F151" s="1"/>
      <c r="G151" s="9"/>
      <c r="H151" s="1"/>
      <c r="I151" s="30"/>
      <c r="J151" s="1"/>
      <c r="K151" s="1"/>
      <c r="L151" s="1"/>
      <c r="M151" s="1"/>
    </row>
    <row r="152" spans="1:13">
      <c r="A152" s="1"/>
      <c r="B152" s="1"/>
      <c r="C152" s="1"/>
      <c r="D152" s="1"/>
      <c r="E152" s="1"/>
      <c r="F152" s="1"/>
      <c r="G152" s="9"/>
      <c r="H152" s="1"/>
      <c r="I152" s="30"/>
      <c r="J152" s="1"/>
      <c r="K152" s="1"/>
      <c r="L152" s="1"/>
      <c r="M152" s="1"/>
    </row>
    <row r="153" spans="1:13">
      <c r="A153" s="1"/>
      <c r="B153" s="1"/>
      <c r="C153" s="1"/>
      <c r="D153" s="1"/>
      <c r="E153" s="1"/>
      <c r="F153" s="1"/>
      <c r="G153" s="9"/>
      <c r="H153" s="1"/>
      <c r="I153" s="30"/>
      <c r="J153" s="1"/>
      <c r="K153" s="1"/>
      <c r="L153" s="1"/>
      <c r="M153" s="1"/>
    </row>
    <row r="154" spans="1:13">
      <c r="A154" s="1"/>
      <c r="B154" s="1"/>
      <c r="C154" s="1"/>
      <c r="D154" s="1"/>
      <c r="E154" s="1"/>
      <c r="F154" s="1"/>
      <c r="G154" s="9"/>
      <c r="H154" s="1"/>
      <c r="I154" s="30"/>
      <c r="J154" s="1"/>
      <c r="K154" s="1"/>
      <c r="L154" s="1"/>
      <c r="M154" s="1"/>
    </row>
    <row r="155" spans="1:13">
      <c r="A155" s="1"/>
      <c r="B155" s="1"/>
      <c r="C155" s="1"/>
      <c r="D155" s="1"/>
      <c r="E155" s="1"/>
      <c r="F155" s="1"/>
      <c r="G155" s="9"/>
      <c r="H155" s="1"/>
      <c r="I155" s="30"/>
      <c r="J155" s="1"/>
      <c r="K155" s="1"/>
      <c r="L155" s="1"/>
      <c r="M155" s="1"/>
    </row>
    <row r="156" spans="1:13">
      <c r="A156" s="1"/>
      <c r="B156" s="1"/>
      <c r="C156" s="1"/>
      <c r="D156" s="1"/>
      <c r="E156" s="1"/>
      <c r="F156" s="1"/>
      <c r="G156" s="9"/>
      <c r="H156" s="1"/>
      <c r="I156" s="30"/>
      <c r="J156" s="1"/>
      <c r="K156" s="1"/>
      <c r="L156" s="1"/>
      <c r="M156" s="1"/>
    </row>
    <row r="157" spans="1:13">
      <c r="A157" s="1"/>
      <c r="B157" s="1"/>
      <c r="C157" s="1"/>
      <c r="D157" s="1"/>
      <c r="E157" s="1"/>
      <c r="F157" s="1"/>
      <c r="G157" s="9"/>
      <c r="H157" s="1"/>
      <c r="I157" s="30"/>
      <c r="J157" s="1"/>
      <c r="K157" s="1"/>
      <c r="L157" s="1"/>
      <c r="M157" s="1"/>
    </row>
    <row r="158" spans="1:13">
      <c r="A158" s="1"/>
      <c r="B158" s="1"/>
      <c r="C158" s="1"/>
      <c r="D158" s="1"/>
      <c r="E158" s="1"/>
      <c r="F158" s="1"/>
      <c r="G158" s="9"/>
      <c r="H158" s="1"/>
      <c r="I158" s="30"/>
      <c r="J158" s="1"/>
      <c r="K158" s="1"/>
      <c r="L158" s="1"/>
      <c r="M158" s="1"/>
    </row>
    <row r="159" spans="1:13">
      <c r="A159" s="1"/>
      <c r="B159" s="1"/>
      <c r="C159" s="1"/>
      <c r="D159" s="1"/>
      <c r="E159" s="1"/>
      <c r="F159" s="1"/>
      <c r="G159" s="9"/>
      <c r="H159" s="1"/>
      <c r="I159" s="30"/>
      <c r="J159" s="1"/>
      <c r="K159" s="1"/>
      <c r="L159" s="1"/>
      <c r="M159" s="1"/>
    </row>
    <row r="160" spans="1:13">
      <c r="A160" s="1"/>
      <c r="B160" s="1"/>
      <c r="C160" s="1"/>
      <c r="D160" s="1"/>
      <c r="E160" s="1"/>
      <c r="F160" s="1"/>
      <c r="G160" s="9"/>
      <c r="H160" s="1"/>
      <c r="I160" s="30"/>
      <c r="J160" s="1"/>
      <c r="K160" s="1"/>
      <c r="L160" s="1"/>
      <c r="M160" s="1"/>
    </row>
    <row r="161" spans="1:13">
      <c r="A161" s="1"/>
      <c r="B161" s="1"/>
      <c r="C161" s="1"/>
      <c r="D161" s="1"/>
      <c r="E161" s="1"/>
      <c r="F161" s="1"/>
      <c r="G161" s="9"/>
      <c r="H161" s="1"/>
      <c r="I161" s="30"/>
      <c r="J161" s="1"/>
      <c r="K161" s="1"/>
      <c r="L161" s="1"/>
      <c r="M161" s="1"/>
    </row>
    <row r="162" spans="1:13">
      <c r="A162" s="1"/>
      <c r="B162" s="1"/>
      <c r="C162" s="1"/>
      <c r="D162" s="1"/>
      <c r="E162" s="1"/>
      <c r="F162" s="1"/>
      <c r="G162" s="9"/>
      <c r="H162" s="1"/>
      <c r="I162" s="30"/>
      <c r="J162" s="1"/>
      <c r="K162" s="1"/>
      <c r="L162" s="1"/>
      <c r="M162" s="1"/>
    </row>
    <row r="163" spans="1:13">
      <c r="A163" s="1"/>
      <c r="B163" s="1"/>
      <c r="C163" s="1"/>
      <c r="D163" s="1"/>
      <c r="E163" s="1"/>
      <c r="F163" s="1"/>
      <c r="G163" s="9"/>
      <c r="H163" s="1"/>
      <c r="I163" s="30"/>
      <c r="J163" s="1"/>
      <c r="K163" s="1"/>
      <c r="L163" s="1"/>
      <c r="M163" s="1"/>
    </row>
    <row r="164" spans="1:13">
      <c r="A164" s="1"/>
      <c r="B164" s="1"/>
      <c r="C164" s="1"/>
      <c r="D164" s="1"/>
      <c r="E164" s="1"/>
      <c r="F164" s="1"/>
      <c r="G164" s="9"/>
      <c r="H164" s="1"/>
      <c r="I164" s="30"/>
      <c r="J164" s="1"/>
      <c r="K164" s="1"/>
      <c r="L164" s="1"/>
      <c r="M164" s="1"/>
    </row>
    <row r="165" spans="1:13">
      <c r="A165" s="1"/>
      <c r="B165" s="1"/>
      <c r="C165" s="1"/>
      <c r="D165" s="1"/>
      <c r="E165" s="1"/>
      <c r="F165" s="1"/>
      <c r="G165" s="9"/>
      <c r="H165" s="1"/>
      <c r="I165" s="30"/>
      <c r="J165" s="1"/>
      <c r="K165" s="1"/>
      <c r="L165" s="1"/>
      <c r="M165" s="1"/>
    </row>
    <row r="166" spans="1:13">
      <c r="A166" s="1"/>
      <c r="B166" s="1"/>
      <c r="C166" s="1"/>
      <c r="D166" s="1"/>
      <c r="E166" s="1"/>
      <c r="F166" s="1"/>
      <c r="G166" s="9"/>
      <c r="H166" s="1"/>
      <c r="I166" s="30"/>
      <c r="J166" s="1"/>
      <c r="K166" s="1"/>
      <c r="L166" s="1"/>
      <c r="M166" s="1"/>
    </row>
    <row r="167" spans="1:13">
      <c r="A167" s="1"/>
      <c r="B167" s="1"/>
      <c r="C167" s="1"/>
      <c r="D167" s="1"/>
      <c r="E167" s="1"/>
      <c r="F167" s="1"/>
      <c r="G167" s="9"/>
      <c r="H167" s="1"/>
      <c r="I167" s="30"/>
      <c r="J167" s="1"/>
      <c r="K167" s="1"/>
      <c r="L167" s="1"/>
      <c r="M167" s="1"/>
    </row>
    <row r="168" spans="1:13">
      <c r="A168" s="1"/>
      <c r="B168" s="1"/>
      <c r="C168" s="1"/>
      <c r="D168" s="1"/>
      <c r="E168" s="1"/>
      <c r="F168" s="1"/>
      <c r="G168" s="9"/>
      <c r="H168" s="1"/>
      <c r="I168" s="30"/>
      <c r="J168" s="1"/>
      <c r="K168" s="1"/>
      <c r="L168" s="1"/>
      <c r="M168" s="1"/>
    </row>
    <row r="169" spans="1:13">
      <c r="A169" s="1"/>
      <c r="B169" s="1"/>
      <c r="C169" s="1"/>
      <c r="D169" s="1"/>
      <c r="E169" s="1"/>
      <c r="F169" s="1"/>
      <c r="G169" s="9"/>
      <c r="H169" s="1"/>
      <c r="I169" s="30"/>
      <c r="J169" s="1"/>
      <c r="K169" s="1"/>
      <c r="L169" s="1"/>
      <c r="M169" s="1"/>
    </row>
    <row r="170" spans="1:13">
      <c r="A170" s="1"/>
      <c r="B170" s="1"/>
      <c r="C170" s="1"/>
      <c r="D170" s="1"/>
      <c r="E170" s="1"/>
      <c r="F170" s="1"/>
      <c r="G170" s="9"/>
      <c r="H170" s="1"/>
      <c r="I170" s="30"/>
      <c r="J170" s="1"/>
      <c r="K170" s="1"/>
      <c r="L170" s="1"/>
      <c r="M170" s="1"/>
    </row>
    <row r="171" spans="1:13">
      <c r="A171" s="1"/>
      <c r="B171" s="1"/>
      <c r="C171" s="1"/>
      <c r="D171" s="1"/>
      <c r="E171" s="1"/>
      <c r="F171" s="1"/>
      <c r="G171" s="9"/>
      <c r="H171" s="1"/>
      <c r="I171" s="30"/>
      <c r="J171" s="1"/>
      <c r="K171" s="1"/>
      <c r="L171" s="1"/>
      <c r="M171" s="1"/>
    </row>
    <row r="172" spans="1:13">
      <c r="A172" s="1"/>
      <c r="B172" s="1"/>
      <c r="C172" s="1"/>
      <c r="D172" s="1"/>
      <c r="E172" s="1"/>
      <c r="F172" s="1"/>
      <c r="G172" s="9"/>
      <c r="H172" s="1"/>
      <c r="I172" s="30"/>
      <c r="J172" s="1"/>
      <c r="K172" s="1"/>
      <c r="L172" s="1"/>
      <c r="M172" s="1"/>
    </row>
    <row r="173" spans="1:13">
      <c r="A173" s="1"/>
      <c r="B173" s="1"/>
      <c r="C173" s="1"/>
      <c r="D173" s="1"/>
      <c r="E173" s="1"/>
      <c r="F173" s="1"/>
      <c r="G173" s="9"/>
      <c r="H173" s="1"/>
      <c r="I173" s="30"/>
      <c r="J173" s="1"/>
      <c r="K173" s="1"/>
      <c r="L173" s="1"/>
      <c r="M173" s="1"/>
    </row>
    <row r="174" spans="1:13">
      <c r="A174" s="1"/>
      <c r="B174" s="1"/>
      <c r="C174" s="1"/>
      <c r="D174" s="1"/>
      <c r="E174" s="1"/>
      <c r="F174" s="1"/>
      <c r="G174" s="9"/>
      <c r="H174" s="1"/>
      <c r="I174" s="30"/>
      <c r="J174" s="1"/>
      <c r="K174" s="1"/>
      <c r="L174" s="1"/>
      <c r="M174" s="1"/>
    </row>
    <row r="175" spans="1:13">
      <c r="A175" s="1"/>
      <c r="B175" s="1"/>
      <c r="C175" s="1"/>
      <c r="D175" s="1"/>
      <c r="E175" s="1"/>
      <c r="F175" s="1"/>
      <c r="G175" s="9"/>
      <c r="H175" s="1"/>
      <c r="I175" s="30"/>
      <c r="J175" s="1"/>
      <c r="K175" s="1"/>
      <c r="L175" s="1"/>
      <c r="M175" s="1"/>
    </row>
    <row r="176" spans="1:13">
      <c r="A176" s="1"/>
      <c r="B176" s="1"/>
      <c r="C176" s="1"/>
      <c r="D176" s="1"/>
      <c r="E176" s="1"/>
      <c r="F176" s="1"/>
      <c r="G176" s="9"/>
      <c r="H176" s="1"/>
      <c r="I176" s="30"/>
      <c r="J176" s="1"/>
      <c r="K176" s="1"/>
      <c r="L176" s="1"/>
      <c r="M176" s="1"/>
    </row>
    <row r="177" spans="1:13">
      <c r="A177" s="1"/>
      <c r="B177" s="1"/>
      <c r="C177" s="1"/>
      <c r="D177" s="1"/>
      <c r="E177" s="1"/>
      <c r="F177" s="1"/>
      <c r="G177" s="9"/>
      <c r="H177" s="1"/>
      <c r="I177" s="30"/>
      <c r="J177" s="1"/>
      <c r="K177" s="1"/>
      <c r="L177" s="1"/>
      <c r="M177" s="1"/>
    </row>
    <row r="178" spans="1:13">
      <c r="A178" s="1"/>
      <c r="B178" s="1"/>
      <c r="C178" s="1"/>
      <c r="D178" s="1"/>
      <c r="E178" s="1"/>
      <c r="F178" s="1"/>
      <c r="G178" s="9"/>
      <c r="H178" s="1"/>
      <c r="I178" s="30"/>
      <c r="J178" s="1"/>
      <c r="K178" s="1"/>
      <c r="L178" s="1"/>
      <c r="M178" s="1"/>
    </row>
    <row r="179" spans="1:13">
      <c r="A179" s="1"/>
      <c r="B179" s="1"/>
      <c r="C179" s="1"/>
      <c r="D179" s="1"/>
      <c r="E179" s="1"/>
      <c r="F179" s="1"/>
      <c r="G179" s="9"/>
      <c r="H179" s="1"/>
      <c r="I179" s="30"/>
      <c r="J179" s="1"/>
      <c r="K179" s="1"/>
      <c r="L179" s="1"/>
      <c r="M179" s="1"/>
    </row>
    <row r="180" spans="1:13">
      <c r="A180" s="1"/>
      <c r="B180" s="1"/>
      <c r="C180" s="1"/>
      <c r="D180" s="1"/>
      <c r="E180" s="1"/>
      <c r="F180" s="1"/>
      <c r="G180" s="9"/>
      <c r="H180" s="1"/>
      <c r="I180" s="30"/>
      <c r="J180" s="1"/>
      <c r="K180" s="1"/>
      <c r="L180" s="1"/>
      <c r="M180" s="1"/>
    </row>
    <row r="181" spans="1:13">
      <c r="A181" s="1"/>
      <c r="B181" s="1"/>
      <c r="C181" s="1"/>
      <c r="D181" s="1"/>
      <c r="E181" s="1"/>
      <c r="F181" s="1"/>
      <c r="G181" s="9"/>
      <c r="H181" s="1"/>
      <c r="I181" s="30"/>
      <c r="J181" s="1"/>
      <c r="K181" s="1"/>
      <c r="L181" s="1"/>
      <c r="M181" s="1"/>
    </row>
    <row r="182" spans="1:13">
      <c r="A182" s="1"/>
      <c r="B182" s="1"/>
      <c r="C182" s="1"/>
      <c r="D182" s="1"/>
      <c r="E182" s="1"/>
      <c r="F182" s="1"/>
      <c r="G182" s="9"/>
      <c r="H182" s="1"/>
      <c r="I182" s="30"/>
      <c r="J182" s="1"/>
      <c r="K182" s="1"/>
      <c r="L182" s="1"/>
      <c r="M182" s="1"/>
    </row>
    <row r="183" spans="1:13">
      <c r="A183" s="1"/>
      <c r="B183" s="1"/>
      <c r="C183" s="1"/>
      <c r="D183" s="1"/>
      <c r="E183" s="1"/>
      <c r="F183" s="1"/>
      <c r="G183" s="9"/>
      <c r="H183" s="1"/>
      <c r="I183" s="30"/>
      <c r="J183" s="1"/>
      <c r="K183" s="1"/>
      <c r="L183" s="1"/>
      <c r="M183" s="1"/>
    </row>
    <row r="184" spans="1:13">
      <c r="A184" s="1"/>
      <c r="B184" s="1"/>
      <c r="C184" s="1"/>
      <c r="D184" s="1"/>
      <c r="E184" s="1"/>
      <c r="F184" s="1"/>
      <c r="G184" s="9"/>
      <c r="H184" s="1"/>
      <c r="I184" s="30"/>
      <c r="J184" s="1"/>
      <c r="K184" s="1"/>
      <c r="L184" s="1"/>
      <c r="M184" s="1"/>
    </row>
    <row r="185" spans="1:13">
      <c r="A185" s="1"/>
      <c r="B185" s="1"/>
      <c r="C185" s="1"/>
      <c r="D185" s="1"/>
      <c r="E185" s="1"/>
      <c r="F185" s="1"/>
      <c r="G185" s="9"/>
      <c r="H185" s="1"/>
      <c r="I185" s="30"/>
      <c r="J185" s="1"/>
      <c r="K185" s="1"/>
      <c r="L185" s="1"/>
      <c r="M185" s="1"/>
    </row>
    <row r="186" spans="1:13">
      <c r="A186" s="1"/>
      <c r="B186" s="1"/>
      <c r="C186" s="1"/>
      <c r="D186" s="1"/>
      <c r="E186" s="1"/>
      <c r="F186" s="1"/>
      <c r="G186" s="9"/>
      <c r="H186" s="1"/>
      <c r="I186" s="30"/>
      <c r="J186" s="1"/>
      <c r="K186" s="1"/>
      <c r="L186" s="1"/>
      <c r="M186" s="1"/>
    </row>
    <row r="187" spans="1:13">
      <c r="A187" s="1"/>
      <c r="B187" s="1"/>
      <c r="C187" s="1"/>
      <c r="D187" s="1"/>
      <c r="E187" s="1"/>
      <c r="F187" s="1"/>
      <c r="G187" s="9"/>
      <c r="H187" s="1"/>
      <c r="I187" s="30"/>
      <c r="J187" s="1"/>
      <c r="K187" s="1"/>
      <c r="L187" s="1"/>
      <c r="M187" s="1"/>
    </row>
    <row r="188" spans="1:13">
      <c r="A188" s="1"/>
      <c r="B188" s="1"/>
      <c r="C188" s="1"/>
      <c r="D188" s="1"/>
      <c r="E188" s="1"/>
      <c r="F188" s="1"/>
      <c r="G188" s="9"/>
      <c r="H188" s="1"/>
      <c r="I188" s="30"/>
      <c r="J188" s="1"/>
      <c r="K188" s="1"/>
      <c r="L188" s="1"/>
      <c r="M188" s="1"/>
    </row>
    <row r="189" spans="1:13">
      <c r="A189" s="1"/>
      <c r="B189" s="1"/>
      <c r="C189" s="1"/>
      <c r="D189" s="1"/>
      <c r="E189" s="1"/>
      <c r="F189" s="1"/>
      <c r="G189" s="9"/>
      <c r="H189" s="1"/>
      <c r="I189" s="30"/>
      <c r="J189" s="1"/>
      <c r="K189" s="1"/>
      <c r="L189" s="1"/>
      <c r="M189" s="1"/>
    </row>
    <row r="190" spans="1:13">
      <c r="A190" s="1"/>
      <c r="B190" s="1"/>
      <c r="C190" s="1"/>
      <c r="D190" s="1"/>
      <c r="E190" s="1"/>
      <c r="F190" s="1"/>
      <c r="G190" s="9"/>
      <c r="H190" s="1"/>
      <c r="I190" s="30"/>
      <c r="J190" s="1"/>
      <c r="K190" s="1"/>
      <c r="L190" s="1"/>
      <c r="M190" s="1"/>
    </row>
    <row r="191" spans="1:13">
      <c r="A191" s="1"/>
      <c r="B191" s="1"/>
      <c r="C191" s="1"/>
      <c r="D191" s="1"/>
      <c r="E191" s="1"/>
      <c r="F191" s="1"/>
      <c r="G191" s="9"/>
      <c r="H191" s="1"/>
      <c r="I191" s="30"/>
      <c r="J191" s="1"/>
      <c r="K191" s="1"/>
      <c r="L191" s="1"/>
      <c r="M191" s="1"/>
    </row>
    <row r="192" spans="1:13">
      <c r="A192" s="1"/>
      <c r="B192" s="1"/>
      <c r="C192" s="1"/>
      <c r="D192" s="1"/>
      <c r="E192" s="1"/>
      <c r="F192" s="1"/>
      <c r="G192" s="9"/>
      <c r="H192" s="1"/>
      <c r="I192" s="30"/>
      <c r="J192" s="1"/>
      <c r="K192" s="1"/>
      <c r="L192" s="1"/>
      <c r="M192" s="1"/>
    </row>
    <row r="193" spans="1:13">
      <c r="A193" s="1"/>
      <c r="B193" s="1"/>
      <c r="C193" s="1"/>
      <c r="D193" s="1"/>
      <c r="E193" s="1"/>
      <c r="F193" s="1"/>
      <c r="G193" s="9"/>
      <c r="H193" s="1"/>
      <c r="I193" s="30"/>
      <c r="J193" s="1"/>
      <c r="K193" s="1"/>
      <c r="L193" s="1"/>
      <c r="M193" s="1"/>
    </row>
    <row r="194" spans="1:13">
      <c r="A194" s="1"/>
      <c r="B194" s="1"/>
      <c r="C194" s="1"/>
      <c r="D194" s="1"/>
      <c r="E194" s="1"/>
      <c r="F194" s="1"/>
      <c r="G194" s="9"/>
      <c r="H194" s="1"/>
      <c r="I194" s="30"/>
      <c r="J194" s="1"/>
      <c r="K194" s="1"/>
      <c r="L194" s="1"/>
      <c r="M194" s="1"/>
    </row>
    <row r="195" spans="1:13">
      <c r="A195" s="1"/>
      <c r="B195" s="1"/>
      <c r="C195" s="1"/>
      <c r="D195" s="1"/>
      <c r="E195" s="1"/>
      <c r="F195" s="1"/>
      <c r="G195" s="9"/>
      <c r="H195" s="1"/>
      <c r="I195" s="30"/>
      <c r="J195" s="1"/>
      <c r="K195" s="1"/>
      <c r="L195" s="1"/>
      <c r="M195" s="1"/>
    </row>
    <row r="196" spans="1:13">
      <c r="A196" s="1"/>
      <c r="B196" s="1"/>
      <c r="C196" s="1"/>
      <c r="D196" s="1"/>
      <c r="E196" s="1"/>
      <c r="F196" s="1"/>
      <c r="G196" s="9"/>
      <c r="H196" s="1"/>
      <c r="I196" s="30"/>
      <c r="J196" s="1"/>
      <c r="K196" s="1"/>
      <c r="L196" s="1"/>
      <c r="M196" s="1"/>
    </row>
    <row r="197" spans="1:13">
      <c r="A197" s="1"/>
      <c r="B197" s="1"/>
      <c r="C197" s="1"/>
      <c r="D197" s="1"/>
      <c r="E197" s="1"/>
      <c r="F197" s="1"/>
      <c r="G197" s="9"/>
      <c r="H197" s="1"/>
      <c r="I197" s="30"/>
      <c r="J197" s="1"/>
      <c r="K197" s="1"/>
      <c r="L197" s="1"/>
      <c r="M197" s="1"/>
    </row>
    <row r="198" spans="1:13">
      <c r="A198" s="1"/>
      <c r="B198" s="1"/>
      <c r="C198" s="1"/>
      <c r="D198" s="1"/>
      <c r="E198" s="1"/>
      <c r="F198" s="1"/>
      <c r="G198" s="9"/>
      <c r="H198" s="1"/>
      <c r="I198" s="30"/>
      <c r="J198" s="1"/>
      <c r="K198" s="1"/>
      <c r="L198" s="1"/>
      <c r="M198" s="1"/>
    </row>
    <row r="199" spans="1:13">
      <c r="A199" s="1"/>
      <c r="B199" s="1"/>
      <c r="C199" s="1"/>
      <c r="D199" s="1"/>
      <c r="E199" s="1"/>
      <c r="F199" s="1"/>
      <c r="G199" s="9"/>
      <c r="H199" s="1"/>
      <c r="I199" s="30"/>
      <c r="J199" s="1"/>
      <c r="K199" s="1"/>
      <c r="L199" s="1"/>
      <c r="M199" s="1"/>
    </row>
    <row r="200" spans="1:13">
      <c r="A200" s="1"/>
      <c r="B200" s="1"/>
      <c r="C200" s="1"/>
      <c r="D200" s="1"/>
      <c r="E200" s="1"/>
      <c r="F200" s="1"/>
      <c r="G200" s="9"/>
      <c r="H200" s="1"/>
      <c r="I200" s="30"/>
      <c r="J200" s="1"/>
      <c r="K200" s="1"/>
      <c r="L200" s="1"/>
      <c r="M200" s="1"/>
    </row>
    <row r="201" spans="1:13">
      <c r="G201" s="9"/>
    </row>
    <row r="202" spans="1:13">
      <c r="G202" s="9"/>
    </row>
    <row r="203" spans="1:13">
      <c r="G203" s="9"/>
    </row>
    <row r="204" spans="1:13">
      <c r="G204" s="9"/>
    </row>
    <row r="205" spans="1:13">
      <c r="G205" s="9"/>
    </row>
    <row r="206" spans="1:13">
      <c r="G206" s="9"/>
    </row>
    <row r="207" spans="1:13">
      <c r="G207" s="9"/>
    </row>
    <row r="208" spans="1:13">
      <c r="G208" s="9"/>
    </row>
    <row r="209" spans="7:7">
      <c r="G209" s="9"/>
    </row>
    <row r="210" spans="7:7">
      <c r="G210" s="9"/>
    </row>
    <row r="211" spans="7:7">
      <c r="G211" s="9"/>
    </row>
    <row r="212" spans="7:7">
      <c r="G212" s="9"/>
    </row>
    <row r="213" spans="7:7">
      <c r="G213" s="9"/>
    </row>
    <row r="214" spans="7:7">
      <c r="G214" s="9"/>
    </row>
    <row r="215" spans="7:7">
      <c r="G215" s="9"/>
    </row>
    <row r="216" spans="7:7">
      <c r="G216" s="9"/>
    </row>
    <row r="217" spans="7:7">
      <c r="G217" s="9"/>
    </row>
    <row r="218" spans="7:7">
      <c r="G218" s="9"/>
    </row>
    <row r="219" spans="7:7">
      <c r="G219" s="9"/>
    </row>
    <row r="220" spans="7:7">
      <c r="G220" s="9"/>
    </row>
    <row r="221" spans="7:7">
      <c r="G221" s="9"/>
    </row>
    <row r="222" spans="7:7">
      <c r="G222" s="9"/>
    </row>
    <row r="223" spans="7:7">
      <c r="G223" s="9"/>
    </row>
    <row r="224" spans="7:7">
      <c r="G224" s="9"/>
    </row>
    <row r="225" spans="7:7">
      <c r="G225" s="9"/>
    </row>
    <row r="226" spans="7:7">
      <c r="G226" s="9"/>
    </row>
    <row r="227" spans="7:7">
      <c r="G227" s="9"/>
    </row>
    <row r="228" spans="7:7">
      <c r="G228" s="9"/>
    </row>
    <row r="229" spans="7:7">
      <c r="G229" s="9"/>
    </row>
    <row r="230" spans="7:7">
      <c r="G230" s="9"/>
    </row>
    <row r="231" spans="7:7">
      <c r="G231" s="9"/>
    </row>
    <row r="232" spans="7:7">
      <c r="G232" s="9"/>
    </row>
    <row r="233" spans="7:7">
      <c r="G233" s="9"/>
    </row>
    <row r="234" spans="7:7">
      <c r="G234" s="9"/>
    </row>
    <row r="235" spans="7:7">
      <c r="G235" s="9"/>
    </row>
    <row r="236" spans="7:7">
      <c r="G236" s="9"/>
    </row>
    <row r="237" spans="7:7">
      <c r="G237" s="9"/>
    </row>
    <row r="238" spans="7:7">
      <c r="G238" s="9"/>
    </row>
    <row r="239" spans="7:7">
      <c r="G239" s="9"/>
    </row>
    <row r="240" spans="7:7">
      <c r="G240" s="9"/>
    </row>
    <row r="241" spans="7:7">
      <c r="G241" s="9"/>
    </row>
    <row r="242" spans="7:7">
      <c r="G242" s="9"/>
    </row>
    <row r="243" spans="7:7">
      <c r="G243" s="9"/>
    </row>
    <row r="244" spans="7:7">
      <c r="G244" s="9"/>
    </row>
    <row r="245" spans="7:7">
      <c r="G245" s="9"/>
    </row>
    <row r="246" spans="7:7">
      <c r="G246" s="9"/>
    </row>
    <row r="247" spans="7:7">
      <c r="G247" s="9"/>
    </row>
    <row r="248" spans="7:7">
      <c r="G248" s="9"/>
    </row>
    <row r="249" spans="7:7">
      <c r="G249" s="9"/>
    </row>
    <row r="250" spans="7:7">
      <c r="G250" s="9"/>
    </row>
    <row r="251" spans="7:7">
      <c r="G251" s="9"/>
    </row>
    <row r="252" spans="7:7">
      <c r="G252" s="9"/>
    </row>
    <row r="253" spans="7:7">
      <c r="G253" s="9"/>
    </row>
    <row r="254" spans="7:7">
      <c r="G254" s="9"/>
    </row>
    <row r="255" spans="7:7">
      <c r="G255" s="9"/>
    </row>
    <row r="256" spans="7:7">
      <c r="G256" s="9"/>
    </row>
    <row r="257" spans="7:7">
      <c r="G257" s="9"/>
    </row>
    <row r="258" spans="7:7">
      <c r="G258" s="9"/>
    </row>
    <row r="259" spans="7:7">
      <c r="G259" s="9"/>
    </row>
    <row r="260" spans="7:7">
      <c r="G260" s="9"/>
    </row>
    <row r="261" spans="7:7">
      <c r="G261" s="9"/>
    </row>
    <row r="262" spans="7:7">
      <c r="G262" s="9"/>
    </row>
    <row r="263" spans="7:7">
      <c r="G263" s="9"/>
    </row>
    <row r="264" spans="7:7">
      <c r="G264" s="9"/>
    </row>
    <row r="265" spans="7:7">
      <c r="G265" s="9"/>
    </row>
    <row r="266" spans="7:7">
      <c r="G266" s="9"/>
    </row>
    <row r="267" spans="7:7">
      <c r="G267" s="9"/>
    </row>
    <row r="268" spans="7:7">
      <c r="G268" s="9"/>
    </row>
    <row r="269" spans="7:7">
      <c r="G269" s="9"/>
    </row>
    <row r="270" spans="7:7">
      <c r="G270" s="9"/>
    </row>
    <row r="271" spans="7:7">
      <c r="G271" s="9"/>
    </row>
    <row r="272" spans="7:7">
      <c r="G272" s="9"/>
    </row>
    <row r="273" spans="7:7">
      <c r="G273" s="9"/>
    </row>
    <row r="274" spans="7:7">
      <c r="G274" s="9"/>
    </row>
    <row r="275" spans="7:7">
      <c r="G275" s="9"/>
    </row>
    <row r="276" spans="7:7">
      <c r="G276" s="9"/>
    </row>
    <row r="277" spans="7:7">
      <c r="G277" s="9"/>
    </row>
    <row r="278" spans="7:7">
      <c r="G278" s="9"/>
    </row>
    <row r="279" spans="7:7">
      <c r="G279" s="9"/>
    </row>
    <row r="280" spans="7:7">
      <c r="G280" s="9"/>
    </row>
    <row r="281" spans="7:7">
      <c r="G281" s="9"/>
    </row>
    <row r="282" spans="7:7">
      <c r="G282" s="9"/>
    </row>
    <row r="283" spans="7:7">
      <c r="G283" s="9"/>
    </row>
    <row r="284" spans="7:7">
      <c r="G284" s="9"/>
    </row>
    <row r="285" spans="7:7">
      <c r="G285" s="9"/>
    </row>
    <row r="286" spans="7:7">
      <c r="G286" s="9"/>
    </row>
    <row r="287" spans="7:7">
      <c r="G287" s="9"/>
    </row>
    <row r="288" spans="7:7">
      <c r="G288" s="9"/>
    </row>
    <row r="289" spans="7:7">
      <c r="G289" s="9"/>
    </row>
    <row r="290" spans="7:7">
      <c r="G290" s="9"/>
    </row>
    <row r="291" spans="7:7">
      <c r="G291" s="9"/>
    </row>
    <row r="292" spans="7:7">
      <c r="G292" s="9"/>
    </row>
    <row r="293" spans="7:7">
      <c r="G293" s="9"/>
    </row>
    <row r="294" spans="7:7">
      <c r="G294" s="9"/>
    </row>
    <row r="295" spans="7:7">
      <c r="G295" s="9"/>
    </row>
    <row r="296" spans="7:7">
      <c r="G296" s="9"/>
    </row>
    <row r="297" spans="7:7">
      <c r="G297" s="9"/>
    </row>
    <row r="298" spans="7:7">
      <c r="G298" s="9"/>
    </row>
    <row r="299" spans="7:7">
      <c r="G299" s="9"/>
    </row>
    <row r="300" spans="7:7">
      <c r="G300" s="9"/>
    </row>
    <row r="301" spans="7:7">
      <c r="G301" s="9"/>
    </row>
    <row r="302" spans="7:7">
      <c r="G302" s="9"/>
    </row>
    <row r="303" spans="7:7">
      <c r="G303" s="9"/>
    </row>
    <row r="304" spans="7:7">
      <c r="G304" s="9"/>
    </row>
    <row r="305" spans="7:7">
      <c r="G305" s="9"/>
    </row>
    <row r="306" spans="7:7">
      <c r="G306" s="9"/>
    </row>
    <row r="307" spans="7:7">
      <c r="G307" s="9"/>
    </row>
    <row r="308" spans="7:7">
      <c r="G308" s="9"/>
    </row>
    <row r="309" spans="7:7">
      <c r="G309" s="9"/>
    </row>
    <row r="310" spans="7:7">
      <c r="G310" s="9"/>
    </row>
    <row r="311" spans="7:7">
      <c r="G311" s="9"/>
    </row>
    <row r="312" spans="7:7">
      <c r="G312" s="9"/>
    </row>
    <row r="313" spans="7:7">
      <c r="G313" s="9"/>
    </row>
    <row r="314" spans="7:7">
      <c r="G314" s="9"/>
    </row>
    <row r="315" spans="7:7">
      <c r="G315" s="9"/>
    </row>
    <row r="316" spans="7:7">
      <c r="G316" s="9"/>
    </row>
    <row r="317" spans="7:7">
      <c r="G317" s="9"/>
    </row>
    <row r="318" spans="7:7">
      <c r="G318" s="9"/>
    </row>
    <row r="319" spans="7:7">
      <c r="G319" s="9"/>
    </row>
    <row r="320" spans="7:7">
      <c r="G320" s="9"/>
    </row>
    <row r="321" spans="7:7">
      <c r="G321" s="9"/>
    </row>
    <row r="322" spans="7:7">
      <c r="G322" s="9"/>
    </row>
    <row r="323" spans="7:7">
      <c r="G323" s="9"/>
    </row>
    <row r="324" spans="7:7">
      <c r="G324" s="9"/>
    </row>
    <row r="325" spans="7:7">
      <c r="G325" s="9"/>
    </row>
    <row r="326" spans="7:7">
      <c r="G326" s="9"/>
    </row>
    <row r="327" spans="7:7">
      <c r="G327" s="9"/>
    </row>
    <row r="328" spans="7:7">
      <c r="G328" s="9"/>
    </row>
    <row r="329" spans="7:7">
      <c r="G329" s="9"/>
    </row>
    <row r="330" spans="7:7">
      <c r="G330" s="9"/>
    </row>
    <row r="331" spans="7:7">
      <c r="G331" s="9"/>
    </row>
    <row r="332" spans="7:7">
      <c r="G332" s="9"/>
    </row>
    <row r="333" spans="7:7">
      <c r="G333" s="9"/>
    </row>
    <row r="334" spans="7:7">
      <c r="G334" s="9"/>
    </row>
    <row r="335" spans="7:7">
      <c r="G335" s="9"/>
    </row>
    <row r="336" spans="7:7">
      <c r="G336" s="9"/>
    </row>
    <row r="337" spans="7:7">
      <c r="G337" s="9"/>
    </row>
    <row r="338" spans="7:7">
      <c r="G338" s="9"/>
    </row>
    <row r="339" spans="7:7">
      <c r="G339" s="9"/>
    </row>
    <row r="340" spans="7:7">
      <c r="G340" s="9"/>
    </row>
    <row r="341" spans="7:7">
      <c r="G341" s="9"/>
    </row>
    <row r="342" spans="7:7">
      <c r="G342" s="9"/>
    </row>
    <row r="343" spans="7:7">
      <c r="G343" s="9"/>
    </row>
    <row r="344" spans="7:7">
      <c r="G344" s="9"/>
    </row>
    <row r="345" spans="7:7">
      <c r="G345" s="9"/>
    </row>
    <row r="346" spans="7:7">
      <c r="G346" s="9"/>
    </row>
    <row r="347" spans="7:7">
      <c r="G347" s="9"/>
    </row>
    <row r="348" spans="7:7">
      <c r="G348" s="9"/>
    </row>
    <row r="349" spans="7:7">
      <c r="G349" s="9"/>
    </row>
    <row r="350" spans="7:7">
      <c r="G350" s="9"/>
    </row>
    <row r="351" spans="7:7">
      <c r="G351" s="9"/>
    </row>
    <row r="352" spans="7:7">
      <c r="G352" s="9"/>
    </row>
    <row r="353" spans="7:7">
      <c r="G353" s="9"/>
    </row>
    <row r="354" spans="7:7">
      <c r="G354" s="9"/>
    </row>
    <row r="355" spans="7:7">
      <c r="G355" s="9"/>
    </row>
    <row r="356" spans="7:7">
      <c r="G356" s="9"/>
    </row>
    <row r="357" spans="7:7">
      <c r="G357" s="9"/>
    </row>
    <row r="358" spans="7:7">
      <c r="G358" s="9"/>
    </row>
    <row r="359" spans="7:7">
      <c r="G359" s="9"/>
    </row>
    <row r="360" spans="7:7">
      <c r="G360" s="9"/>
    </row>
    <row r="361" spans="7:7">
      <c r="G361" s="9"/>
    </row>
    <row r="362" spans="7:7">
      <c r="G362" s="9"/>
    </row>
    <row r="363" spans="7:7">
      <c r="G363" s="9"/>
    </row>
    <row r="364" spans="7:7">
      <c r="G364" s="9"/>
    </row>
    <row r="365" spans="7:7">
      <c r="G365" s="9"/>
    </row>
    <row r="366" spans="7:7">
      <c r="G366" s="9"/>
    </row>
    <row r="367" spans="7:7">
      <c r="G367" s="9"/>
    </row>
    <row r="368" spans="7:7">
      <c r="G368" s="9"/>
    </row>
    <row r="369" spans="7:7">
      <c r="G369" s="9"/>
    </row>
    <row r="370" spans="7:7">
      <c r="G370" s="9"/>
    </row>
    <row r="371" spans="7:7">
      <c r="G371" s="9"/>
    </row>
    <row r="372" spans="7:7">
      <c r="G372" s="9"/>
    </row>
    <row r="373" spans="7:7">
      <c r="G373" s="9"/>
    </row>
    <row r="374" spans="7:7">
      <c r="G374" s="9"/>
    </row>
    <row r="375" spans="7:7">
      <c r="G375" s="9"/>
    </row>
    <row r="376" spans="7:7">
      <c r="G376" s="9"/>
    </row>
    <row r="377" spans="7:7">
      <c r="G377" s="9"/>
    </row>
    <row r="378" spans="7:7">
      <c r="G378" s="9"/>
    </row>
    <row r="379" spans="7:7">
      <c r="G379" s="9"/>
    </row>
    <row r="380" spans="7:7">
      <c r="G380" s="9"/>
    </row>
    <row r="381" spans="7:7">
      <c r="G381" s="9"/>
    </row>
    <row r="382" spans="7:7">
      <c r="G382" s="9"/>
    </row>
    <row r="383" spans="7:7">
      <c r="G383" s="9"/>
    </row>
    <row r="384" spans="7:7">
      <c r="G384" s="9"/>
    </row>
    <row r="385" spans="7:7">
      <c r="G385" s="9"/>
    </row>
    <row r="386" spans="7:7">
      <c r="G386" s="9"/>
    </row>
    <row r="387" spans="7:7">
      <c r="G387" s="9"/>
    </row>
    <row r="388" spans="7:7">
      <c r="G388" s="9"/>
    </row>
    <row r="389" spans="7:7">
      <c r="G389" s="9"/>
    </row>
    <row r="390" spans="7:7">
      <c r="G390" s="9"/>
    </row>
    <row r="391" spans="7:7">
      <c r="G391" s="9"/>
    </row>
    <row r="392" spans="7:7">
      <c r="G392" s="9"/>
    </row>
    <row r="393" spans="7:7">
      <c r="G393" s="9"/>
    </row>
    <row r="394" spans="7:7">
      <c r="G394" s="9"/>
    </row>
    <row r="395" spans="7:7">
      <c r="G395" s="9"/>
    </row>
    <row r="396" spans="7:7">
      <c r="G396" s="9"/>
    </row>
    <row r="397" spans="7:7">
      <c r="G397" s="9"/>
    </row>
    <row r="398" spans="7:7">
      <c r="G398" s="9"/>
    </row>
    <row r="399" spans="7:7">
      <c r="G399" s="9"/>
    </row>
    <row r="400" spans="7:7">
      <c r="G400" s="9"/>
    </row>
    <row r="401" spans="7:7">
      <c r="G401" s="9"/>
    </row>
    <row r="402" spans="7:7">
      <c r="G402" s="9"/>
    </row>
    <row r="403" spans="7:7">
      <c r="G403" s="9"/>
    </row>
    <row r="404" spans="7:7">
      <c r="G404" s="9"/>
    </row>
    <row r="405" spans="7:7">
      <c r="G405" s="9"/>
    </row>
    <row r="406" spans="7:7">
      <c r="G406" s="9"/>
    </row>
    <row r="407" spans="7:7">
      <c r="G407" s="9"/>
    </row>
    <row r="408" spans="7:7">
      <c r="G408" s="9"/>
    </row>
    <row r="409" spans="7:7">
      <c r="G409" s="9"/>
    </row>
    <row r="410" spans="7:7">
      <c r="G410" s="9"/>
    </row>
    <row r="411" spans="7:7">
      <c r="G411" s="9"/>
    </row>
    <row r="412" spans="7:7">
      <c r="G412" s="9"/>
    </row>
    <row r="413" spans="7:7">
      <c r="G413" s="9"/>
    </row>
    <row r="414" spans="7:7">
      <c r="G414" s="9"/>
    </row>
    <row r="415" spans="7:7">
      <c r="G415" s="9"/>
    </row>
    <row r="416" spans="7:7">
      <c r="G416" s="9"/>
    </row>
    <row r="417" spans="7:7">
      <c r="G417" s="9"/>
    </row>
    <row r="418" spans="7:7">
      <c r="G418" s="9"/>
    </row>
    <row r="419" spans="7:7">
      <c r="G419" s="9"/>
    </row>
    <row r="420" spans="7:7">
      <c r="G420" s="9"/>
    </row>
    <row r="421" spans="7:7">
      <c r="G421" s="9"/>
    </row>
    <row r="422" spans="7:7">
      <c r="G422" s="9"/>
    </row>
    <row r="423" spans="7:7">
      <c r="G423" s="9"/>
    </row>
    <row r="424" spans="7:7">
      <c r="G424" s="9"/>
    </row>
    <row r="425" spans="7:7">
      <c r="G425" s="9"/>
    </row>
    <row r="426" spans="7:7">
      <c r="G426" s="9"/>
    </row>
    <row r="427" spans="7:7">
      <c r="G427" s="9"/>
    </row>
    <row r="428" spans="7:7">
      <c r="G428" s="9"/>
    </row>
    <row r="429" spans="7:7">
      <c r="G429" s="9"/>
    </row>
    <row r="430" spans="7:7">
      <c r="G430" s="9"/>
    </row>
    <row r="431" spans="7:7">
      <c r="G431" s="9"/>
    </row>
    <row r="432" spans="7:7">
      <c r="G432" s="9"/>
    </row>
    <row r="433" spans="7:7">
      <c r="G433" s="9"/>
    </row>
    <row r="434" spans="7:7">
      <c r="G434" s="9"/>
    </row>
    <row r="435" spans="7:7">
      <c r="G435" s="9"/>
    </row>
    <row r="436" spans="7:7">
      <c r="G436" s="9"/>
    </row>
    <row r="437" spans="7:7">
      <c r="G437" s="9"/>
    </row>
    <row r="438" spans="7:7">
      <c r="G438" s="9"/>
    </row>
    <row r="439" spans="7:7">
      <c r="G439" s="9"/>
    </row>
    <row r="440" spans="7:7">
      <c r="G440" s="9"/>
    </row>
    <row r="441" spans="7:7">
      <c r="G441" s="9"/>
    </row>
    <row r="442" spans="7:7">
      <c r="G442" s="9"/>
    </row>
    <row r="443" spans="7:7">
      <c r="G443" s="9"/>
    </row>
    <row r="444" spans="7:7">
      <c r="G444" s="9"/>
    </row>
    <row r="445" spans="7:7">
      <c r="G445" s="9"/>
    </row>
    <row r="446" spans="7:7">
      <c r="G446" s="9"/>
    </row>
    <row r="447" spans="7:7">
      <c r="G447" s="9"/>
    </row>
    <row r="448" spans="7:7">
      <c r="G448" s="9"/>
    </row>
    <row r="449" spans="7:7">
      <c r="G449" s="9"/>
    </row>
    <row r="450" spans="7:7">
      <c r="G450" s="9"/>
    </row>
    <row r="451" spans="7:7">
      <c r="G451" s="9"/>
    </row>
    <row r="452" spans="7:7">
      <c r="G452" s="9"/>
    </row>
    <row r="453" spans="7:7">
      <c r="G453" s="9"/>
    </row>
    <row r="454" spans="7:7">
      <c r="G454" s="9"/>
    </row>
    <row r="455" spans="7:7">
      <c r="G455" s="9"/>
    </row>
    <row r="456" spans="7:7">
      <c r="G456" s="9"/>
    </row>
    <row r="457" spans="7:7">
      <c r="G457" s="9"/>
    </row>
    <row r="458" spans="7:7">
      <c r="G458" s="9"/>
    </row>
    <row r="459" spans="7:7">
      <c r="G459" s="9"/>
    </row>
    <row r="460" spans="7:7">
      <c r="G460" s="9"/>
    </row>
    <row r="461" spans="7:7">
      <c r="G461" s="9"/>
    </row>
    <row r="462" spans="7:7">
      <c r="G462" s="9"/>
    </row>
    <row r="463" spans="7:7">
      <c r="G463" s="9"/>
    </row>
    <row r="464" spans="7:7">
      <c r="G464" s="9"/>
    </row>
    <row r="465" spans="7:7">
      <c r="G465" s="9"/>
    </row>
    <row r="466" spans="7:7">
      <c r="G466" s="9"/>
    </row>
    <row r="467" spans="7:7">
      <c r="G467" s="9"/>
    </row>
    <row r="468" spans="7:7">
      <c r="G468" s="9"/>
    </row>
    <row r="469" spans="7:7">
      <c r="G469" s="9"/>
    </row>
    <row r="470" spans="7:7">
      <c r="G470" s="9"/>
    </row>
    <row r="471" spans="7:7">
      <c r="G471" s="9"/>
    </row>
    <row r="472" spans="7:7">
      <c r="G472" s="9"/>
    </row>
    <row r="473" spans="7:7">
      <c r="G473" s="9"/>
    </row>
    <row r="474" spans="7:7">
      <c r="G474" s="9"/>
    </row>
    <row r="475" spans="7:7">
      <c r="G475" s="9"/>
    </row>
    <row r="476" spans="7:7">
      <c r="G476" s="9"/>
    </row>
    <row r="477" spans="7:7">
      <c r="G477" s="9"/>
    </row>
    <row r="478" spans="7:7">
      <c r="G478" s="9"/>
    </row>
    <row r="479" spans="7:7">
      <c r="G479" s="9"/>
    </row>
    <row r="480" spans="7:7">
      <c r="G480" s="9"/>
    </row>
  </sheetData>
  <autoFilter ref="A1:N135" xr:uid="{00000000-0001-0000-0400-000000000000}">
    <filterColumn colId="1">
      <filters>
        <filter val="Sprint 2"/>
      </filters>
    </filterColumn>
    <sortState xmlns:xlrd2="http://schemas.microsoft.com/office/spreadsheetml/2017/richdata2" ref="A36:N53">
      <sortCondition ref="L1:L135"/>
    </sortState>
  </autoFilter>
  <dataValidations count="7">
    <dataValidation type="list" allowBlank="1" sqref="D2:D200" xr:uid="{00000000-0002-0000-0400-000000000000}">
      <formula1>"Backend,Frontend,Database,Test,Docs,Deployment"</formula1>
    </dataValidation>
    <dataValidation type="list" allowBlank="1" sqref="E2:E200" xr:uid="{00000000-0002-0000-0400-000001000000}">
      <formula1>"Must,Should,Could,Won't"</formula1>
    </dataValidation>
    <dataValidation type="list" allowBlank="1" sqref="F2:F200" xr:uid="{00000000-0002-0000-0400-000002000000}">
      <formula1>"Backlog,Ready,To Do,In Progress,Review,Done,Blocked"</formula1>
    </dataValidation>
    <dataValidation type="list" allowBlank="1" sqref="L2:L135 M2:M17" xr:uid="{00000000-0002-0000-0400-000003000000}">
      <formula1>"PB-001,PB-002,PB-003,PB-004,PB-005,PB-006,PB-007,PB-008,PB-009,PB-010,PB-011,PB-012,PB-013,PB-014,PB-015,PB-016,PB-017,PB-018,PB-019,PB-020,PB-021,PB-022,PB-023,PB-024,PB-025,PB-026,PB-027,PB-028,PB-029,PB-030,PB-031,PB-032,PB-033,PB-034,PB-035,PB-036"</formula1>
    </dataValidation>
    <dataValidation type="list" allowBlank="1" sqref="F12:F135" xr:uid="{00000000-0002-0000-0400-000006000000}">
      <formula1>"Backlog,Ready,To Do,In Progress,Review,Done,Blocked,Moved"</formula1>
    </dataValidation>
    <dataValidation type="list" allowBlank="1" sqref="H12:H135" xr:uid="{00000000-0002-0000-0400-000007000000}">
      <formula1>"Developer,Product Owner,Tester,Designer,DevOps"</formula1>
    </dataValidation>
    <dataValidation type="whole" sqref="I12:I135" xr:uid="{00000000-0002-0000-0400-000008000000}">
      <formula1>0</formula1>
      <formula2>40</formula2>
    </dataValidation>
  </dataValidations>
  <hyperlinks>
    <hyperlink ref="N2" r:id="rId1" xr:uid="{7F92D44F-5205-2149-B975-DFCDE5C9B7F0}"/>
    <hyperlink ref="N3" r:id="rId2" xr:uid="{6B26BEE6-E39C-4A4F-932C-57C4679DB5AB}"/>
    <hyperlink ref="N4:N5" r:id="rId3" display="Pull Request #2" xr:uid="{6960549B-0414-614E-BC27-118EF8902A98}"/>
    <hyperlink ref="N6" r:id="rId4" xr:uid="{CDB635C0-C155-AE4C-A997-5F8EC0AA1C1E}"/>
    <hyperlink ref="N7" r:id="rId5" xr:uid="{B2115D65-2215-6646-91F9-FB38B5D36ABB}"/>
    <hyperlink ref="N8" r:id="rId6" xr:uid="{EE27927D-C3C9-9B49-B5AC-436819FA5302}"/>
    <hyperlink ref="N9" r:id="rId7" xr:uid="{E86C9B2D-E7A2-E747-9403-2FB70C77684A}"/>
    <hyperlink ref="N10" r:id="rId8" xr:uid="{C60BAEFE-31F6-654C-AC59-2600AF2C78BF}"/>
    <hyperlink ref="N11:N13" r:id="rId9" display="https://github.com/dqhieuse/sport_booking_webapp/commit/9ea6710c55bd5d75ce992ff74a9f8bc98e625ef7" xr:uid="{9374657B-5171-584E-8D9D-9DED091BF4EE}"/>
    <hyperlink ref="N14" r:id="rId10" xr:uid="{F41BA02F-3749-FE4F-B415-1C96F6CA537B}"/>
    <hyperlink ref="N16:N17" r:id="rId11" display="https://github.com/dqhieuse/sport_booking_webapp/commit/ee452ebe7b0fe9bfb4b1f96c2503a23e0b9919da" xr:uid="{7F9D6751-138D-2C47-98B8-569E84074D1F}"/>
    <hyperlink ref="N15" r:id="rId12" xr:uid="{3024326C-1656-594E-A949-B35D7EF95F1C}"/>
    <hyperlink ref="N18" r:id="rId13" xr:uid="{972C7B3B-E8FB-DA40-8F2C-2FEC4A0654B0}"/>
    <hyperlink ref="N19" r:id="rId14" xr:uid="{1B52CCB9-CF8B-D347-AE54-9EDAE3B81C8A}"/>
    <hyperlink ref="N20" r:id="rId15" xr:uid="{97B23BBA-A7F8-0744-9B0A-2AB7359D5B0D}"/>
    <hyperlink ref="N21" r:id="rId16" xr:uid="{5A715AC1-5EA3-AE4A-8570-CC8584E9905B}"/>
    <hyperlink ref="N22" r:id="rId17" xr:uid="{304AFB1A-4D9C-B346-ADBB-5B148F7472C6}"/>
    <hyperlink ref="N23:N24" r:id="rId18" display="https://github.com/dqhieuse/sport_booking_webapp/commit/7c28081b592376b5f114320c4b2b97ab7aaafcf5" xr:uid="{0949C457-399A-1F4E-AA13-A7A6AA88738A}"/>
    <hyperlink ref="N25" r:id="rId19" xr:uid="{459C229E-046E-AF4F-8D1C-261A9AF05DD6}"/>
    <hyperlink ref="N27" r:id="rId20" xr:uid="{F1B82A34-2A01-E140-864B-C694112EE8CA}"/>
    <hyperlink ref="N28" r:id="rId21" xr:uid="{5A071FBD-2661-4148-B857-18440AD2DAE8}"/>
    <hyperlink ref="N29" r:id="rId22" xr:uid="{5C4CE2C9-8535-E04C-8750-15EC6FF979CA}"/>
    <hyperlink ref="N26" r:id="rId23" xr:uid="{D4A7C388-A18A-AB49-97D0-48E503CE2886}"/>
    <hyperlink ref="N30" r:id="rId24" xr:uid="{826E87A7-432B-B443-82EE-044A2B1A3FAC}"/>
    <hyperlink ref="N31" r:id="rId25" xr:uid="{D19F9E8D-2314-0F45-A877-EF3048D34838}"/>
    <hyperlink ref="N32" r:id="rId26" xr:uid="{1A834366-22EC-3F42-AB7F-ECC74031D86D}"/>
    <hyperlink ref="N33" r:id="rId27" xr:uid="{2C2A1686-CEAF-864E-A060-0105A0CB183A}"/>
    <hyperlink ref="N34" r:id="rId28" xr:uid="{B282F9E2-9F28-C646-A1C5-C7962753C156}"/>
    <hyperlink ref="N35" r:id="rId29" xr:uid="{BA879A5A-E4E3-934B-826B-66FF43BD6272}"/>
  </hyperlink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217C811A-50C3-6E4A-B7A8-DAA3E491C4A4}">
            <xm:f>Lookups!$A$8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" operator="equal" id="{64D0E3E5-43C0-3A46-A0D7-D80846A93428}">
            <xm:f>Lookups!$A$7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3" operator="equal" id="{8A95AAF8-7E8C-3949-91B7-852351398651}">
            <xm:f>Lookups!$A$6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ellIs" priority="4" operator="equal" id="{122200E0-DD45-8F45-95E2-598AF1F496EE}">
            <xm:f>Lookups!$A$5</xm:f>
            <x14:dxf>
              <font>
                <color theme="3" tint="9.9948118533890809E-2"/>
              </font>
              <fill>
                <patternFill>
                  <bgColor theme="3" tint="0.89996032593768116"/>
                </patternFill>
              </fill>
            </x14:dxf>
          </x14:cfRule>
          <x14:cfRule type="cellIs" priority="5" operator="equal" id="{92255747-59BC-7847-BC4C-69D98DEC60BF}">
            <xm:f>Lookups!$A$3</xm:f>
            <x14:dxf>
              <font>
                <color rgb="FF7030A0"/>
              </font>
              <fill>
                <patternFill>
                  <bgColor rgb="FFEAE8FF"/>
                </patternFill>
              </fill>
            </x14:dxf>
          </x14:cfRule>
          <xm:sqref>F1:G1048576</xm:sqref>
        </x14:conditionalFormatting>
        <x14:conditionalFormatting xmlns:xm="http://schemas.microsoft.com/office/excel/2006/main">
          <x14:cfRule type="cellIs" priority="6" operator="equal" id="{9559DBF6-A389-4C40-AE73-5962CA372B58}">
            <xm:f>Lookups!$A$2</xm:f>
            <x14:dxf>
              <fill>
                <patternFill>
                  <bgColor theme="2"/>
                </patternFill>
              </fill>
            </x14:dxf>
          </x14:cfRule>
          <xm:sqref>F2:G473 G2:G480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1BAD3-1944-AF40-849D-6D0E6B54E401}">
          <x14:formula1>
            <xm:f>Lookups!$I$2</xm:f>
          </x14:formula1>
          <xm:sqref>G2:G509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0"/>
  <sheetViews>
    <sheetView zoomScale="140" zoomScaleNormal="140" workbookViewId="0">
      <selection activeCell="D2" sqref="D2"/>
    </sheetView>
  </sheetViews>
  <sheetFormatPr baseColWidth="10" defaultColWidth="8.83203125" defaultRowHeight="15"/>
  <cols>
    <col min="1" max="1" width="14" customWidth="1"/>
    <col min="2" max="2" width="37" customWidth="1"/>
    <col min="3" max="3" width="9" customWidth="1"/>
    <col min="4" max="4" width="10.33203125" customWidth="1"/>
    <col min="5" max="5" width="19" customWidth="1"/>
    <col min="6" max="6" width="34.83203125" customWidth="1"/>
  </cols>
  <sheetData>
    <row r="1" spans="1:11" ht="30" customHeight="1">
      <c r="A1" s="4" t="s">
        <v>380</v>
      </c>
      <c r="B1" s="4" t="s">
        <v>381</v>
      </c>
      <c r="C1" s="4" t="s">
        <v>164</v>
      </c>
      <c r="D1" s="4" t="s">
        <v>24</v>
      </c>
      <c r="E1" s="4" t="s">
        <v>382</v>
      </c>
      <c r="F1" s="4" t="s">
        <v>169</v>
      </c>
      <c r="G1" s="1"/>
      <c r="H1" s="1"/>
      <c r="I1" s="1"/>
      <c r="J1" s="1"/>
      <c r="K1" s="1"/>
    </row>
    <row r="2" spans="1:11" ht="22" customHeight="1">
      <c r="A2" s="9" t="s">
        <v>383</v>
      </c>
      <c r="B2" s="9" t="s">
        <v>384</v>
      </c>
      <c r="C2" s="9" t="s">
        <v>174</v>
      </c>
      <c r="D2" s="9" t="s">
        <v>78</v>
      </c>
      <c r="E2" s="9"/>
      <c r="F2" s="9" t="s">
        <v>386</v>
      </c>
      <c r="G2" s="1"/>
      <c r="H2" s="1"/>
      <c r="I2" s="1"/>
      <c r="J2" s="1"/>
      <c r="K2" s="1"/>
    </row>
    <row r="3" spans="1:11" ht="22" customHeight="1">
      <c r="A3" s="9" t="s">
        <v>355</v>
      </c>
      <c r="B3" s="9" t="s">
        <v>387</v>
      </c>
      <c r="C3" s="9" t="s">
        <v>174</v>
      </c>
      <c r="D3" s="9" t="s">
        <v>385</v>
      </c>
      <c r="E3" s="9"/>
      <c r="F3" s="9" t="s">
        <v>388</v>
      </c>
      <c r="G3" s="1"/>
      <c r="H3" s="1"/>
      <c r="I3" s="1"/>
      <c r="J3" s="1"/>
      <c r="K3" s="1"/>
    </row>
    <row r="4" spans="1:11" ht="22" customHeight="1">
      <c r="A4" s="9" t="s">
        <v>355</v>
      </c>
      <c r="B4" s="9" t="s">
        <v>389</v>
      </c>
      <c r="C4" s="9" t="s">
        <v>174</v>
      </c>
      <c r="D4" s="9" t="s">
        <v>385</v>
      </c>
      <c r="E4" s="9"/>
      <c r="F4" s="9" t="s">
        <v>390</v>
      </c>
      <c r="G4" s="1"/>
      <c r="H4" s="1"/>
      <c r="I4" s="1"/>
      <c r="J4" s="1"/>
      <c r="K4" s="1"/>
    </row>
    <row r="5" spans="1:11" ht="22" customHeight="1">
      <c r="A5" s="9" t="s">
        <v>391</v>
      </c>
      <c r="B5" s="9" t="s">
        <v>392</v>
      </c>
      <c r="C5" s="9" t="s">
        <v>174</v>
      </c>
      <c r="D5" s="9" t="s">
        <v>385</v>
      </c>
      <c r="E5" s="9"/>
      <c r="F5" s="9"/>
      <c r="G5" s="1"/>
      <c r="H5" s="1"/>
      <c r="I5" s="1"/>
      <c r="J5" s="1"/>
      <c r="K5" s="1"/>
    </row>
    <row r="6" spans="1:11" ht="22" customHeight="1">
      <c r="A6" s="9" t="s">
        <v>391</v>
      </c>
      <c r="B6" s="9" t="s">
        <v>393</v>
      </c>
      <c r="C6" s="9" t="s">
        <v>174</v>
      </c>
      <c r="D6" s="9" t="s">
        <v>385</v>
      </c>
      <c r="E6" s="9"/>
      <c r="F6" s="9"/>
      <c r="G6" s="1"/>
      <c r="H6" s="1"/>
      <c r="I6" s="1"/>
      <c r="J6" s="1"/>
      <c r="K6" s="1"/>
    </row>
    <row r="7" spans="1:11" ht="22" customHeight="1">
      <c r="A7" s="9" t="s">
        <v>391</v>
      </c>
      <c r="B7" s="9" t="s">
        <v>394</v>
      </c>
      <c r="C7" s="9" t="s">
        <v>174</v>
      </c>
      <c r="D7" s="9" t="s">
        <v>385</v>
      </c>
      <c r="E7" s="9"/>
      <c r="F7" s="9"/>
      <c r="G7" s="1"/>
      <c r="H7" s="1"/>
      <c r="I7" s="1"/>
      <c r="J7" s="1"/>
      <c r="K7" s="1"/>
    </row>
    <row r="8" spans="1:11" ht="22" customHeight="1">
      <c r="A8" s="9" t="s">
        <v>204</v>
      </c>
      <c r="B8" s="9" t="s">
        <v>395</v>
      </c>
      <c r="C8" s="9" t="s">
        <v>174</v>
      </c>
      <c r="D8" s="9" t="s">
        <v>385</v>
      </c>
      <c r="E8" s="9"/>
      <c r="F8" s="9"/>
      <c r="G8" s="1"/>
      <c r="H8" s="1"/>
      <c r="I8" s="1"/>
      <c r="J8" s="1"/>
      <c r="K8" s="1"/>
    </row>
    <row r="9" spans="1:11" ht="22" customHeight="1">
      <c r="A9" s="9" t="s">
        <v>237</v>
      </c>
      <c r="B9" s="9" t="s">
        <v>396</v>
      </c>
      <c r="C9" s="9" t="s">
        <v>174</v>
      </c>
      <c r="D9" s="9" t="s">
        <v>385</v>
      </c>
      <c r="E9" s="9"/>
      <c r="F9" s="9"/>
      <c r="G9" s="1"/>
      <c r="H9" s="1"/>
      <c r="I9" s="1"/>
      <c r="J9" s="1"/>
      <c r="K9" s="1"/>
    </row>
    <row r="10" spans="1:11" ht="22" customHeight="1">
      <c r="A10" s="9" t="s">
        <v>254</v>
      </c>
      <c r="B10" s="9" t="s">
        <v>397</v>
      </c>
      <c r="C10" s="9" t="s">
        <v>174</v>
      </c>
      <c r="D10" s="9" t="s">
        <v>385</v>
      </c>
      <c r="E10" s="9"/>
      <c r="F10" s="9"/>
      <c r="G10" s="1"/>
      <c r="H10" s="1"/>
      <c r="I10" s="1"/>
      <c r="J10" s="1"/>
      <c r="K10" s="1"/>
    </row>
    <row r="11" spans="1:11" ht="22" customHeight="1">
      <c r="A11" s="9" t="s">
        <v>351</v>
      </c>
      <c r="B11" s="9" t="s">
        <v>398</v>
      </c>
      <c r="C11" s="9" t="s">
        <v>174</v>
      </c>
      <c r="D11" s="9" t="s">
        <v>385</v>
      </c>
      <c r="E11" s="9"/>
      <c r="F11" s="9"/>
      <c r="G11" s="1"/>
      <c r="H11" s="1"/>
      <c r="I11" s="1"/>
      <c r="J11" s="1"/>
      <c r="K11" s="1"/>
    </row>
    <row r="12" spans="1:11" ht="22" customHeight="1">
      <c r="A12" s="9" t="s">
        <v>351</v>
      </c>
      <c r="B12" s="9" t="s">
        <v>399</v>
      </c>
      <c r="C12" s="9" t="s">
        <v>174</v>
      </c>
      <c r="D12" s="9" t="s">
        <v>385</v>
      </c>
      <c r="E12" s="9"/>
      <c r="F12" s="9"/>
      <c r="G12" s="1"/>
      <c r="H12" s="1"/>
      <c r="I12" s="1"/>
      <c r="J12" s="1"/>
      <c r="K12" s="1"/>
    </row>
    <row r="13" spans="1:11" ht="30" customHeight="1">
      <c r="A13" s="9" t="s">
        <v>359</v>
      </c>
      <c r="B13" s="9" t="s">
        <v>400</v>
      </c>
      <c r="C13" s="9" t="s">
        <v>174</v>
      </c>
      <c r="D13" s="9" t="s">
        <v>385</v>
      </c>
      <c r="E13" s="9"/>
      <c r="F13" s="9"/>
      <c r="G13" s="1"/>
      <c r="H13" s="1"/>
      <c r="I13" s="1"/>
      <c r="J13" s="1"/>
      <c r="K13" s="1"/>
    </row>
    <row r="14" spans="1:11" ht="22" customHeight="1">
      <c r="A14" s="9" t="s">
        <v>139</v>
      </c>
      <c r="B14" s="9" t="s">
        <v>401</v>
      </c>
      <c r="C14" s="9" t="s">
        <v>174</v>
      </c>
      <c r="D14" s="9" t="s">
        <v>385</v>
      </c>
      <c r="E14" s="9"/>
      <c r="F14" s="9"/>
      <c r="G14" s="1"/>
      <c r="H14" s="1"/>
      <c r="I14" s="1"/>
      <c r="J14" s="1"/>
      <c r="K14" s="1"/>
    </row>
    <row r="15" spans="1:11" ht="22" customHeight="1">
      <c r="A15" s="9" t="s">
        <v>402</v>
      </c>
      <c r="B15" s="9" t="s">
        <v>403</v>
      </c>
      <c r="C15" s="9" t="s">
        <v>280</v>
      </c>
      <c r="D15" s="9" t="s">
        <v>385</v>
      </c>
      <c r="E15" s="9"/>
      <c r="F15" s="9"/>
      <c r="G15" s="1"/>
      <c r="H15" s="1"/>
      <c r="I15" s="1"/>
      <c r="J15" s="1"/>
      <c r="K15" s="1"/>
    </row>
    <row r="16" spans="1:11" ht="35.75" customHeight="1">
      <c r="A16" s="2"/>
      <c r="B16" s="2"/>
      <c r="C16" s="2"/>
      <c r="D16" s="2"/>
      <c r="E16" s="2"/>
      <c r="F16" s="2"/>
      <c r="G16" s="1"/>
      <c r="H16" s="1"/>
      <c r="I16" s="1"/>
      <c r="J16" s="1"/>
      <c r="K16" s="1"/>
    </row>
    <row r="17" spans="1:11" ht="35.75" customHeight="1">
      <c r="A17" s="2"/>
      <c r="B17" s="2"/>
      <c r="C17" s="2"/>
      <c r="D17" s="2"/>
      <c r="E17" s="2"/>
      <c r="F17" s="2"/>
      <c r="G17" s="1"/>
      <c r="H17" s="1"/>
      <c r="I17" s="1"/>
      <c r="J17" s="1"/>
      <c r="K17" s="1"/>
    </row>
    <row r="18" spans="1:11" ht="35.75" customHeight="1">
      <c r="A18" s="2"/>
      <c r="B18" s="2"/>
      <c r="C18" s="2"/>
      <c r="D18" s="2"/>
      <c r="E18" s="2"/>
      <c r="F18" s="2"/>
      <c r="G18" s="1"/>
      <c r="H18" s="1"/>
      <c r="I18" s="1"/>
      <c r="J18" s="1"/>
      <c r="K18" s="1"/>
    </row>
    <row r="19" spans="1:11" ht="35.75" customHeight="1">
      <c r="A19" s="2"/>
      <c r="B19" s="2"/>
      <c r="C19" s="2"/>
      <c r="D19" s="2"/>
      <c r="E19" s="2"/>
      <c r="F19" s="2"/>
      <c r="G19" s="1"/>
      <c r="H19" s="1"/>
      <c r="I19" s="1"/>
      <c r="J19" s="1"/>
      <c r="K19" s="1"/>
    </row>
    <row r="20" spans="1:11" ht="35.75" customHeight="1">
      <c r="A20" s="2"/>
      <c r="B20" s="2"/>
      <c r="C20" s="2"/>
      <c r="D20" s="2"/>
      <c r="E20" s="2"/>
      <c r="F20" s="2"/>
      <c r="G20" s="1"/>
      <c r="H20" s="1"/>
      <c r="I20" s="1"/>
      <c r="J20" s="1"/>
      <c r="K20" s="1"/>
    </row>
    <row r="21" spans="1:11" ht="35.75" customHeight="1">
      <c r="A21" s="2"/>
      <c r="B21" s="2"/>
      <c r="C21" s="2"/>
      <c r="D21" s="2"/>
      <c r="E21" s="2"/>
      <c r="F21" s="2"/>
      <c r="G21" s="1"/>
      <c r="H21" s="1"/>
      <c r="I21" s="1"/>
      <c r="J21" s="1"/>
      <c r="K21" s="1"/>
    </row>
    <row r="22" spans="1:11" ht="35.75" customHeight="1">
      <c r="A22" s="2"/>
      <c r="B22" s="2"/>
      <c r="C22" s="2"/>
      <c r="D22" s="2"/>
      <c r="E22" s="2"/>
      <c r="F22" s="2"/>
      <c r="G22" s="1"/>
      <c r="H22" s="1"/>
      <c r="I22" s="1"/>
      <c r="J22" s="1"/>
      <c r="K22" s="1"/>
    </row>
    <row r="23" spans="1:11" ht="35.75" customHeight="1">
      <c r="A23" s="2"/>
      <c r="B23" s="2"/>
      <c r="C23" s="2"/>
      <c r="D23" s="2"/>
      <c r="E23" s="2"/>
      <c r="F23" s="2"/>
      <c r="G23" s="1"/>
      <c r="H23" s="1"/>
      <c r="I23" s="1"/>
      <c r="J23" s="1"/>
      <c r="K23" s="1"/>
    </row>
    <row r="24" spans="1:11" ht="35.75" customHeight="1">
      <c r="A24" s="2"/>
      <c r="B24" s="2"/>
      <c r="C24" s="2"/>
      <c r="D24" s="2"/>
      <c r="E24" s="2"/>
      <c r="F24" s="2"/>
      <c r="G24" s="1"/>
      <c r="H24" s="1"/>
      <c r="I24" s="1"/>
      <c r="J24" s="1"/>
      <c r="K24" s="1"/>
    </row>
    <row r="25" spans="1:11" ht="35.75" customHeight="1">
      <c r="A25" s="2"/>
      <c r="B25" s="2"/>
      <c r="C25" s="2"/>
      <c r="D25" s="2"/>
      <c r="E25" s="2"/>
      <c r="F25" s="2"/>
      <c r="G25" s="1"/>
      <c r="H25" s="1"/>
      <c r="I25" s="1"/>
      <c r="J25" s="1"/>
      <c r="K25" s="1"/>
    </row>
    <row r="26" spans="1:11" ht="35.75" customHeight="1">
      <c r="A26" s="2"/>
      <c r="B26" s="2"/>
      <c r="C26" s="2"/>
      <c r="D26" s="2"/>
      <c r="E26" s="2"/>
      <c r="F26" s="2"/>
      <c r="G26" s="1"/>
      <c r="H26" s="1"/>
      <c r="I26" s="1"/>
      <c r="J26" s="1"/>
      <c r="K26" s="1"/>
    </row>
    <row r="27" spans="1:11" ht="35.75" customHeight="1">
      <c r="A27" s="2"/>
      <c r="B27" s="2"/>
      <c r="C27" s="2"/>
      <c r="D27" s="2"/>
      <c r="E27" s="2"/>
      <c r="F27" s="2"/>
      <c r="G27" s="1"/>
      <c r="H27" s="1"/>
      <c r="I27" s="1"/>
      <c r="J27" s="1"/>
      <c r="K27" s="1"/>
    </row>
    <row r="28" spans="1:11" ht="35.75" customHeight="1">
      <c r="A28" s="2"/>
      <c r="B28" s="2"/>
      <c r="C28" s="2"/>
      <c r="D28" s="2"/>
      <c r="E28" s="2"/>
      <c r="F28" s="2"/>
      <c r="G28" s="1"/>
      <c r="H28" s="1"/>
      <c r="I28" s="1"/>
      <c r="J28" s="1"/>
      <c r="K28" s="1"/>
    </row>
    <row r="29" spans="1:11" ht="35.75" customHeight="1">
      <c r="A29" s="2"/>
      <c r="B29" s="2"/>
      <c r="C29" s="2"/>
      <c r="D29" s="2"/>
      <c r="E29" s="2"/>
      <c r="F29" s="2"/>
      <c r="G29" s="1"/>
      <c r="H29" s="1"/>
      <c r="I29" s="1"/>
      <c r="J29" s="1"/>
      <c r="K29" s="1"/>
    </row>
    <row r="30" spans="1:11" ht="35.75" customHeight="1">
      <c r="A30" s="2"/>
      <c r="B30" s="2"/>
      <c r="C30" s="2"/>
      <c r="D30" s="2"/>
      <c r="E30" s="2"/>
      <c r="F30" s="2"/>
      <c r="G30" s="1"/>
      <c r="H30" s="1"/>
      <c r="I30" s="1"/>
      <c r="J30" s="1"/>
      <c r="K30" s="1"/>
    </row>
    <row r="31" spans="1:11" ht="35.75" customHeight="1">
      <c r="A31" s="2"/>
      <c r="B31" s="2"/>
      <c r="C31" s="2"/>
      <c r="D31" s="2"/>
      <c r="E31" s="2"/>
      <c r="F31" s="2"/>
      <c r="G31" s="1"/>
      <c r="H31" s="1"/>
      <c r="I31" s="1"/>
      <c r="J31" s="1"/>
      <c r="K31" s="1"/>
    </row>
    <row r="32" spans="1:11" ht="35.75" customHeight="1">
      <c r="A32" s="2"/>
      <c r="B32" s="2"/>
      <c r="C32" s="2"/>
      <c r="D32" s="2"/>
      <c r="E32" s="2"/>
      <c r="F32" s="2"/>
      <c r="G32" s="1"/>
      <c r="H32" s="1"/>
      <c r="I32" s="1"/>
      <c r="J32" s="1"/>
      <c r="K32" s="1"/>
    </row>
    <row r="33" spans="1:11" ht="35.75" customHeight="1">
      <c r="A33" s="2"/>
      <c r="B33" s="2"/>
      <c r="C33" s="2"/>
      <c r="D33" s="2"/>
      <c r="E33" s="2"/>
      <c r="F33" s="2"/>
      <c r="G33" s="1"/>
      <c r="H33" s="1"/>
      <c r="I33" s="1"/>
      <c r="J33" s="1"/>
      <c r="K33" s="1"/>
    </row>
    <row r="34" spans="1:11" ht="35.75" customHeight="1">
      <c r="A34" s="2"/>
      <c r="B34" s="2"/>
      <c r="C34" s="2"/>
      <c r="D34" s="2"/>
      <c r="E34" s="2"/>
      <c r="F34" s="2"/>
      <c r="G34" s="1"/>
      <c r="H34" s="1"/>
      <c r="I34" s="1"/>
      <c r="J34" s="1"/>
      <c r="K34" s="1"/>
    </row>
    <row r="35" spans="1:11" ht="35.75" customHeight="1">
      <c r="A35" s="2"/>
      <c r="B35" s="2"/>
      <c r="C35" s="2"/>
      <c r="D35" s="2"/>
      <c r="E35" s="2"/>
      <c r="F35" s="2"/>
      <c r="G35" s="1"/>
      <c r="H35" s="1"/>
      <c r="I35" s="1"/>
      <c r="J35" s="1"/>
      <c r="K35" s="1"/>
    </row>
    <row r="36" spans="1:11" ht="35.75" customHeight="1">
      <c r="A36" s="2"/>
      <c r="B36" s="2"/>
      <c r="C36" s="2"/>
      <c r="D36" s="2"/>
      <c r="E36" s="2"/>
      <c r="F36" s="2"/>
      <c r="G36" s="1"/>
      <c r="H36" s="1"/>
      <c r="I36" s="1"/>
      <c r="J36" s="1"/>
      <c r="K36" s="1"/>
    </row>
    <row r="37" spans="1:11" ht="35.75" customHeight="1">
      <c r="A37" s="2"/>
      <c r="B37" s="2"/>
      <c r="C37" s="2"/>
      <c r="D37" s="2"/>
      <c r="E37" s="2"/>
      <c r="F37" s="2"/>
      <c r="G37" s="1"/>
      <c r="H37" s="1"/>
      <c r="I37" s="1"/>
      <c r="J37" s="1"/>
      <c r="K37" s="1"/>
    </row>
    <row r="38" spans="1:11" ht="35.75" customHeight="1">
      <c r="A38" s="2"/>
      <c r="B38" s="2"/>
      <c r="C38" s="2"/>
      <c r="D38" s="2"/>
      <c r="E38" s="2"/>
      <c r="F38" s="2"/>
      <c r="G38" s="1"/>
      <c r="H38" s="1"/>
      <c r="I38" s="1"/>
      <c r="J38" s="1"/>
      <c r="K38" s="1"/>
    </row>
    <row r="39" spans="1:11" ht="35.75" customHeight="1">
      <c r="A39" s="2"/>
      <c r="B39" s="2"/>
      <c r="C39" s="2"/>
      <c r="D39" s="2"/>
      <c r="E39" s="2"/>
      <c r="F39" s="2"/>
      <c r="G39" s="1"/>
      <c r="H39" s="1"/>
      <c r="I39" s="1"/>
      <c r="J39" s="1"/>
      <c r="K39" s="1"/>
    </row>
    <row r="40" spans="1:11" ht="35.75" customHeight="1">
      <c r="A40" s="2"/>
      <c r="B40" s="2"/>
      <c r="C40" s="2"/>
      <c r="D40" s="2"/>
      <c r="E40" s="2"/>
      <c r="F40" s="2"/>
      <c r="G40" s="1"/>
      <c r="H40" s="1"/>
      <c r="I40" s="1"/>
      <c r="J40" s="1"/>
      <c r="K40" s="1"/>
    </row>
    <row r="41" spans="1:11" ht="35.75" customHeight="1">
      <c r="A41" s="2"/>
      <c r="B41" s="2"/>
      <c r="C41" s="2"/>
      <c r="D41" s="2"/>
      <c r="E41" s="2"/>
      <c r="F41" s="2"/>
      <c r="G41" s="1"/>
      <c r="H41" s="1"/>
      <c r="I41" s="1"/>
      <c r="J41" s="1"/>
      <c r="K41" s="1"/>
    </row>
    <row r="42" spans="1:11" ht="35.75" customHeight="1">
      <c r="A42" s="2"/>
      <c r="B42" s="2"/>
      <c r="C42" s="2"/>
      <c r="D42" s="2"/>
      <c r="E42" s="2"/>
      <c r="F42" s="2"/>
      <c r="G42" s="1"/>
      <c r="H42" s="1"/>
      <c r="I42" s="1"/>
      <c r="J42" s="1"/>
      <c r="K42" s="1"/>
    </row>
    <row r="43" spans="1:11" ht="35.75" customHeight="1">
      <c r="A43" s="2"/>
      <c r="B43" s="2"/>
      <c r="C43" s="2"/>
      <c r="D43" s="2"/>
      <c r="E43" s="2"/>
      <c r="F43" s="2"/>
      <c r="G43" s="1"/>
      <c r="H43" s="1"/>
      <c r="I43" s="1"/>
      <c r="J43" s="1"/>
      <c r="K43" s="1"/>
    </row>
    <row r="44" spans="1:11" ht="35.75" customHeight="1">
      <c r="A44" s="2"/>
      <c r="B44" s="2"/>
      <c r="C44" s="2"/>
      <c r="D44" s="2"/>
      <c r="E44" s="2"/>
      <c r="F44" s="2"/>
      <c r="G44" s="1"/>
      <c r="H44" s="1"/>
      <c r="I44" s="1"/>
      <c r="J44" s="1"/>
      <c r="K44" s="1"/>
    </row>
    <row r="45" spans="1:11" ht="35.75" customHeight="1">
      <c r="A45" s="2"/>
      <c r="B45" s="2"/>
      <c r="C45" s="2"/>
      <c r="D45" s="2"/>
      <c r="E45" s="2"/>
      <c r="F45" s="2"/>
      <c r="G45" s="1"/>
      <c r="H45" s="1"/>
      <c r="I45" s="1"/>
      <c r="J45" s="1"/>
      <c r="K45" s="1"/>
    </row>
    <row r="46" spans="1:11" ht="35.75" customHeight="1">
      <c r="A46" s="2"/>
      <c r="B46" s="2"/>
      <c r="C46" s="2"/>
      <c r="D46" s="2"/>
      <c r="E46" s="2"/>
      <c r="F46" s="2"/>
      <c r="G46" s="1"/>
      <c r="H46" s="1"/>
      <c r="I46" s="1"/>
      <c r="J46" s="1"/>
      <c r="K46" s="1"/>
    </row>
    <row r="47" spans="1:11" ht="35.75" customHeight="1">
      <c r="A47" s="2"/>
      <c r="B47" s="2"/>
      <c r="C47" s="2"/>
      <c r="D47" s="2"/>
      <c r="E47" s="2"/>
      <c r="F47" s="2"/>
      <c r="G47" s="1"/>
      <c r="H47" s="1"/>
      <c r="I47" s="1"/>
      <c r="J47" s="1"/>
      <c r="K47" s="1"/>
    </row>
    <row r="48" spans="1:11" ht="35.75" customHeight="1">
      <c r="A48" s="2"/>
      <c r="B48" s="2"/>
      <c r="C48" s="2"/>
      <c r="D48" s="2"/>
      <c r="E48" s="2"/>
      <c r="F48" s="2"/>
      <c r="G48" s="1"/>
      <c r="H48" s="1"/>
      <c r="I48" s="1"/>
      <c r="J48" s="1"/>
      <c r="K48" s="1"/>
    </row>
    <row r="49" spans="1:11" ht="35.75" customHeight="1">
      <c r="A49" s="2"/>
      <c r="B49" s="2"/>
      <c r="C49" s="2"/>
      <c r="D49" s="2"/>
      <c r="E49" s="2"/>
      <c r="F49" s="2"/>
      <c r="G49" s="1"/>
      <c r="H49" s="1"/>
      <c r="I49" s="1"/>
      <c r="J49" s="1"/>
      <c r="K49" s="1"/>
    </row>
    <row r="50" spans="1:11" ht="35.75" customHeight="1">
      <c r="A50" s="2"/>
      <c r="B50" s="2"/>
      <c r="C50" s="2"/>
      <c r="D50" s="2"/>
      <c r="E50" s="2"/>
      <c r="F50" s="2"/>
      <c r="G50" s="1"/>
      <c r="H50" s="1"/>
      <c r="I50" s="1"/>
      <c r="J50" s="1"/>
      <c r="K50" s="1"/>
    </row>
    <row r="51" spans="1:11" ht="35.75" customHeight="1">
      <c r="A51" s="2"/>
      <c r="B51" s="2"/>
      <c r="C51" s="2"/>
      <c r="D51" s="2"/>
      <c r="E51" s="2"/>
      <c r="F51" s="2"/>
      <c r="G51" s="1"/>
      <c r="H51" s="1"/>
      <c r="I51" s="1"/>
      <c r="J51" s="1"/>
      <c r="K51" s="1"/>
    </row>
    <row r="52" spans="1:11" ht="35.75" customHeight="1">
      <c r="A52" s="2"/>
      <c r="B52" s="2"/>
      <c r="C52" s="2"/>
      <c r="D52" s="2"/>
      <c r="E52" s="2"/>
      <c r="F52" s="2"/>
      <c r="G52" s="1"/>
      <c r="H52" s="1"/>
      <c r="I52" s="1"/>
      <c r="J52" s="1"/>
      <c r="K52" s="1"/>
    </row>
    <row r="53" spans="1:11" ht="35.75" customHeight="1">
      <c r="A53" s="2"/>
      <c r="B53" s="2"/>
      <c r="C53" s="2"/>
      <c r="D53" s="2"/>
      <c r="E53" s="2"/>
      <c r="F53" s="2"/>
      <c r="G53" s="1"/>
      <c r="H53" s="1"/>
      <c r="I53" s="1"/>
      <c r="J53" s="1"/>
      <c r="K53" s="1"/>
    </row>
    <row r="54" spans="1:11" ht="35.75" customHeight="1">
      <c r="A54" s="2"/>
      <c r="B54" s="2"/>
      <c r="C54" s="2"/>
      <c r="D54" s="2"/>
      <c r="E54" s="2"/>
      <c r="F54" s="2"/>
      <c r="G54" s="1"/>
      <c r="H54" s="1"/>
      <c r="I54" s="1"/>
      <c r="J54" s="1"/>
      <c r="K54" s="1"/>
    </row>
    <row r="55" spans="1:11" ht="35.75" customHeight="1">
      <c r="A55" s="2"/>
      <c r="B55" s="2"/>
      <c r="C55" s="2"/>
      <c r="D55" s="2"/>
      <c r="E55" s="2"/>
      <c r="F55" s="2"/>
      <c r="G55" s="1"/>
      <c r="H55" s="1"/>
      <c r="I55" s="1"/>
      <c r="J55" s="1"/>
      <c r="K55" s="1"/>
    </row>
    <row r="56" spans="1:11" ht="35.75" customHeight="1">
      <c r="A56" s="2"/>
      <c r="B56" s="2"/>
      <c r="C56" s="2"/>
      <c r="D56" s="2"/>
      <c r="E56" s="2"/>
      <c r="F56" s="2"/>
      <c r="G56" s="1"/>
      <c r="H56" s="1"/>
      <c r="I56" s="1"/>
      <c r="J56" s="1"/>
      <c r="K56" s="1"/>
    </row>
    <row r="57" spans="1:11" ht="35.75" customHeight="1">
      <c r="A57" s="2"/>
      <c r="B57" s="2"/>
      <c r="C57" s="2"/>
      <c r="D57" s="2"/>
      <c r="E57" s="2"/>
      <c r="F57" s="2"/>
      <c r="G57" s="1"/>
      <c r="H57" s="1"/>
      <c r="I57" s="1"/>
      <c r="J57" s="1"/>
      <c r="K57" s="1"/>
    </row>
    <row r="58" spans="1:11" ht="35.75" customHeight="1">
      <c r="A58" s="2"/>
      <c r="B58" s="2"/>
      <c r="C58" s="2"/>
      <c r="D58" s="2"/>
      <c r="E58" s="2"/>
      <c r="F58" s="2"/>
      <c r="G58" s="1"/>
      <c r="H58" s="1"/>
      <c r="I58" s="1"/>
      <c r="J58" s="1"/>
      <c r="K58" s="1"/>
    </row>
    <row r="59" spans="1:11" ht="35.75" customHeight="1">
      <c r="A59" s="2"/>
      <c r="B59" s="2"/>
      <c r="C59" s="2"/>
      <c r="D59" s="2"/>
      <c r="E59" s="2"/>
      <c r="F59" s="2"/>
      <c r="G59" s="1"/>
      <c r="H59" s="1"/>
      <c r="I59" s="1"/>
      <c r="J59" s="1"/>
      <c r="K59" s="1"/>
    </row>
    <row r="60" spans="1:11" ht="35.75" customHeight="1">
      <c r="A60" s="2"/>
      <c r="B60" s="2"/>
      <c r="C60" s="2"/>
      <c r="D60" s="2"/>
      <c r="E60" s="2"/>
      <c r="F60" s="2"/>
      <c r="G60" s="1"/>
      <c r="H60" s="1"/>
      <c r="I60" s="1"/>
      <c r="J60" s="1"/>
      <c r="K60" s="1"/>
    </row>
    <row r="61" spans="1:11" ht="35.75" customHeight="1">
      <c r="A61" s="2"/>
      <c r="B61" s="2"/>
      <c r="C61" s="2"/>
      <c r="D61" s="2"/>
      <c r="E61" s="2"/>
      <c r="F61" s="2"/>
      <c r="G61" s="1"/>
      <c r="H61" s="1"/>
      <c r="I61" s="1"/>
      <c r="J61" s="1"/>
      <c r="K61" s="1"/>
    </row>
    <row r="62" spans="1:11" ht="35.75" customHeight="1">
      <c r="A62" s="2"/>
      <c r="B62" s="2"/>
      <c r="C62" s="2"/>
      <c r="D62" s="2"/>
      <c r="E62" s="2"/>
      <c r="F62" s="2"/>
      <c r="G62" s="1"/>
      <c r="H62" s="1"/>
      <c r="I62" s="1"/>
      <c r="J62" s="1"/>
      <c r="K62" s="1"/>
    </row>
    <row r="63" spans="1:11" ht="35.75" customHeight="1">
      <c r="A63" s="2"/>
      <c r="B63" s="2"/>
      <c r="C63" s="2"/>
      <c r="D63" s="2"/>
      <c r="E63" s="2"/>
      <c r="F63" s="2"/>
      <c r="G63" s="1"/>
      <c r="H63" s="1"/>
      <c r="I63" s="1"/>
      <c r="J63" s="1"/>
      <c r="K63" s="1"/>
    </row>
    <row r="64" spans="1:11" ht="35.75" customHeight="1">
      <c r="A64" s="2"/>
      <c r="B64" s="2"/>
      <c r="C64" s="2"/>
      <c r="D64" s="2"/>
      <c r="E64" s="2"/>
      <c r="F64" s="2"/>
      <c r="G64" s="1"/>
      <c r="H64" s="1"/>
      <c r="I64" s="1"/>
      <c r="J64" s="1"/>
      <c r="K64" s="1"/>
    </row>
    <row r="65" spans="1:11" ht="35.75" customHeight="1">
      <c r="A65" s="2"/>
      <c r="B65" s="2"/>
      <c r="C65" s="2"/>
      <c r="D65" s="2"/>
      <c r="E65" s="2"/>
      <c r="F65" s="2"/>
      <c r="G65" s="1"/>
      <c r="H65" s="1"/>
      <c r="I65" s="1"/>
      <c r="J65" s="1"/>
      <c r="K65" s="1"/>
    </row>
    <row r="66" spans="1:11" ht="35.75" customHeight="1">
      <c r="A66" s="2"/>
      <c r="B66" s="2"/>
      <c r="C66" s="2"/>
      <c r="D66" s="2"/>
      <c r="E66" s="2"/>
      <c r="F66" s="2"/>
      <c r="G66" s="1"/>
      <c r="H66" s="1"/>
      <c r="I66" s="1"/>
      <c r="J66" s="1"/>
      <c r="K66" s="1"/>
    </row>
    <row r="67" spans="1:11" ht="35.75" customHeight="1">
      <c r="A67" s="2"/>
      <c r="B67" s="2"/>
      <c r="C67" s="2"/>
      <c r="D67" s="2"/>
      <c r="E67" s="2"/>
      <c r="F67" s="2"/>
      <c r="G67" s="1"/>
      <c r="H67" s="1"/>
      <c r="I67" s="1"/>
      <c r="J67" s="1"/>
      <c r="K67" s="1"/>
    </row>
    <row r="68" spans="1:11" ht="35.75" customHeight="1">
      <c r="A68" s="2"/>
      <c r="B68" s="2"/>
      <c r="C68" s="2"/>
      <c r="D68" s="2"/>
      <c r="E68" s="2"/>
      <c r="F68" s="2"/>
      <c r="G68" s="1"/>
      <c r="H68" s="1"/>
      <c r="I68" s="1"/>
      <c r="J68" s="1"/>
      <c r="K68" s="1"/>
    </row>
    <row r="69" spans="1:11" ht="35.75" customHeight="1">
      <c r="A69" s="2"/>
      <c r="B69" s="2"/>
      <c r="C69" s="2"/>
      <c r="D69" s="2"/>
      <c r="E69" s="2"/>
      <c r="F69" s="2"/>
      <c r="G69" s="1"/>
      <c r="H69" s="1"/>
      <c r="I69" s="1"/>
      <c r="J69" s="1"/>
      <c r="K69" s="1"/>
    </row>
    <row r="70" spans="1:11" ht="35.75" customHeight="1">
      <c r="A70" s="2"/>
      <c r="B70" s="2"/>
      <c r="C70" s="2"/>
      <c r="D70" s="2"/>
      <c r="E70" s="2"/>
      <c r="F70" s="2"/>
      <c r="G70" s="1"/>
      <c r="H70" s="1"/>
      <c r="I70" s="1"/>
      <c r="J70" s="1"/>
      <c r="K70" s="1"/>
    </row>
    <row r="71" spans="1:11" ht="35.75" customHeight="1">
      <c r="A71" s="2"/>
      <c r="B71" s="2"/>
      <c r="C71" s="2"/>
      <c r="D71" s="2"/>
      <c r="E71" s="2"/>
      <c r="F71" s="2"/>
      <c r="G71" s="1"/>
      <c r="H71" s="1"/>
      <c r="I71" s="1"/>
      <c r="J71" s="1"/>
      <c r="K71" s="1"/>
    </row>
    <row r="72" spans="1:11" ht="35.75" customHeight="1">
      <c r="A72" s="2"/>
      <c r="B72" s="2"/>
      <c r="C72" s="2"/>
      <c r="D72" s="2"/>
      <c r="E72" s="2"/>
      <c r="F72" s="2"/>
      <c r="G72" s="1"/>
      <c r="H72" s="1"/>
      <c r="I72" s="1"/>
      <c r="J72" s="1"/>
      <c r="K72" s="1"/>
    </row>
    <row r="73" spans="1:11" ht="35.75" customHeight="1">
      <c r="A73" s="2"/>
      <c r="B73" s="2"/>
      <c r="C73" s="2"/>
      <c r="D73" s="2"/>
      <c r="E73" s="2"/>
      <c r="F73" s="2"/>
      <c r="G73" s="1"/>
      <c r="H73" s="1"/>
      <c r="I73" s="1"/>
      <c r="J73" s="1"/>
      <c r="K73" s="1"/>
    </row>
    <row r="74" spans="1:11" ht="35.75" customHeight="1">
      <c r="A74" s="2"/>
      <c r="B74" s="2"/>
      <c r="C74" s="2"/>
      <c r="D74" s="2"/>
      <c r="E74" s="2"/>
      <c r="F74" s="2"/>
      <c r="G74" s="1"/>
      <c r="H74" s="1"/>
      <c r="I74" s="1"/>
      <c r="J74" s="1"/>
      <c r="K74" s="1"/>
    </row>
    <row r="75" spans="1:11" ht="35.75" customHeight="1">
      <c r="A75" s="2"/>
      <c r="B75" s="2"/>
      <c r="C75" s="2"/>
      <c r="D75" s="2"/>
      <c r="E75" s="2"/>
      <c r="F75" s="2"/>
      <c r="G75" s="1"/>
      <c r="H75" s="1"/>
      <c r="I75" s="1"/>
      <c r="J75" s="1"/>
      <c r="K75" s="1"/>
    </row>
    <row r="76" spans="1:11" ht="35.75" customHeight="1">
      <c r="A76" s="2"/>
      <c r="B76" s="2"/>
      <c r="C76" s="2"/>
      <c r="D76" s="2"/>
      <c r="E76" s="2"/>
      <c r="F76" s="2"/>
      <c r="G76" s="1"/>
      <c r="H76" s="1"/>
      <c r="I76" s="1"/>
      <c r="J76" s="1"/>
      <c r="K76" s="1"/>
    </row>
    <row r="77" spans="1:11" ht="35.75" customHeight="1">
      <c r="A77" s="2"/>
      <c r="B77" s="2"/>
      <c r="C77" s="2"/>
      <c r="D77" s="2"/>
      <c r="E77" s="2"/>
      <c r="F77" s="2"/>
      <c r="G77" s="1"/>
      <c r="H77" s="1"/>
      <c r="I77" s="1"/>
      <c r="J77" s="1"/>
      <c r="K77" s="1"/>
    </row>
    <row r="78" spans="1:11" ht="35.75" customHeight="1">
      <c r="A78" s="2"/>
      <c r="B78" s="2"/>
      <c r="C78" s="2"/>
      <c r="D78" s="2"/>
      <c r="E78" s="2"/>
      <c r="F78" s="2"/>
      <c r="G78" s="1"/>
      <c r="H78" s="1"/>
      <c r="I78" s="1"/>
      <c r="J78" s="1"/>
      <c r="K78" s="1"/>
    </row>
    <row r="79" spans="1:11" ht="35.75" customHeight="1">
      <c r="A79" s="2"/>
      <c r="B79" s="2"/>
      <c r="C79" s="2"/>
      <c r="D79" s="2"/>
      <c r="E79" s="2"/>
      <c r="F79" s="2"/>
      <c r="G79" s="1"/>
      <c r="H79" s="1"/>
      <c r="I79" s="1"/>
      <c r="J79" s="1"/>
      <c r="K79" s="1"/>
    </row>
    <row r="80" spans="1:11" ht="35.75" customHeight="1">
      <c r="A80" s="2"/>
      <c r="B80" s="2"/>
      <c r="C80" s="2"/>
      <c r="D80" s="2"/>
      <c r="E80" s="2"/>
      <c r="F80" s="2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autoFilter ref="A1:F1" xr:uid="{00000000-0001-0000-0500-000000000000}"/>
  <dataValidations count="2">
    <dataValidation type="list" allowBlank="1" sqref="C2:C100" xr:uid="{00000000-0002-0000-0500-000000000000}">
      <formula1>"Must,Should,Could,Won't"</formula1>
    </dataValidation>
    <dataValidation type="list" allowBlank="1" sqref="D2:D100" xr:uid="{00000000-0002-0000-0500-000001000000}">
      <formula1>"Not Started,In Progress,Done,Blocked,Deferred,N/A"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00"/>
  <sheetViews>
    <sheetView zoomScale="140" zoomScaleNormal="140" workbookViewId="0">
      <selection activeCell="C10" sqref="C10"/>
    </sheetView>
  </sheetViews>
  <sheetFormatPr baseColWidth="10" defaultColWidth="8.83203125" defaultRowHeight="15"/>
  <cols>
    <col min="1" max="1" width="6" customWidth="1"/>
    <col min="2" max="2" width="35.5" customWidth="1"/>
    <col min="3" max="3" width="14.83203125" customWidth="1"/>
    <col min="4" max="4" width="19.5" customWidth="1"/>
    <col min="5" max="5" width="10" customWidth="1"/>
    <col min="6" max="6" width="39.5" customWidth="1"/>
    <col min="7" max="7" width="13" customWidth="1"/>
    <col min="8" max="8" width="8" customWidth="1"/>
    <col min="9" max="9" width="17" customWidth="1"/>
  </cols>
  <sheetData>
    <row r="1" spans="1:11" ht="29" customHeight="1">
      <c r="A1" s="4" t="s">
        <v>160</v>
      </c>
      <c r="B1" s="4" t="s">
        <v>404</v>
      </c>
      <c r="C1" s="4" t="s">
        <v>405</v>
      </c>
      <c r="D1" s="4" t="s">
        <v>406</v>
      </c>
      <c r="E1" s="4" t="s">
        <v>407</v>
      </c>
      <c r="F1" s="4" t="s">
        <v>408</v>
      </c>
      <c r="G1" s="4" t="s">
        <v>166</v>
      </c>
      <c r="H1" s="4" t="s">
        <v>24</v>
      </c>
      <c r="I1" s="4" t="s">
        <v>409</v>
      </c>
      <c r="J1" s="1"/>
      <c r="K1" s="1"/>
    </row>
    <row r="2" spans="1:11" ht="22" customHeight="1">
      <c r="A2" s="9" t="s">
        <v>410</v>
      </c>
      <c r="B2" s="9" t="s">
        <v>411</v>
      </c>
      <c r="C2" s="9">
        <v>4</v>
      </c>
      <c r="D2" s="9">
        <v>4</v>
      </c>
      <c r="E2" s="9">
        <f t="shared" ref="E2:E8" si="0">C2*D2</f>
        <v>16</v>
      </c>
      <c r="F2" s="9" t="s">
        <v>412</v>
      </c>
      <c r="G2" s="9" t="s">
        <v>413</v>
      </c>
      <c r="H2" s="9" t="s">
        <v>414</v>
      </c>
      <c r="I2" s="9"/>
      <c r="J2" s="1"/>
      <c r="K2" s="1"/>
    </row>
    <row r="3" spans="1:11" ht="22" customHeight="1">
      <c r="A3" s="9" t="s">
        <v>415</v>
      </c>
      <c r="B3" s="9" t="s">
        <v>416</v>
      </c>
      <c r="C3" s="9">
        <v>4</v>
      </c>
      <c r="D3" s="9">
        <v>3</v>
      </c>
      <c r="E3" s="9">
        <f t="shared" si="0"/>
        <v>12</v>
      </c>
      <c r="F3" s="9" t="s">
        <v>417</v>
      </c>
      <c r="G3" s="9" t="s">
        <v>176</v>
      </c>
      <c r="H3" s="9" t="s">
        <v>414</v>
      </c>
      <c r="I3" s="9"/>
      <c r="J3" s="1"/>
      <c r="K3" s="1"/>
    </row>
    <row r="4" spans="1:11" ht="22" customHeight="1">
      <c r="A4" s="9" t="s">
        <v>418</v>
      </c>
      <c r="B4" s="9" t="s">
        <v>419</v>
      </c>
      <c r="C4" s="9">
        <v>5</v>
      </c>
      <c r="D4" s="9">
        <v>3</v>
      </c>
      <c r="E4" s="9">
        <f t="shared" si="0"/>
        <v>15</v>
      </c>
      <c r="F4" s="9" t="s">
        <v>420</v>
      </c>
      <c r="G4" s="9" t="s">
        <v>176</v>
      </c>
      <c r="H4" s="9" t="s">
        <v>414</v>
      </c>
      <c r="I4" s="9"/>
      <c r="J4" s="1"/>
      <c r="K4" s="1"/>
    </row>
    <row r="5" spans="1:11" ht="22" customHeight="1">
      <c r="A5" s="9" t="s">
        <v>421</v>
      </c>
      <c r="B5" s="9" t="s">
        <v>422</v>
      </c>
      <c r="C5" s="9">
        <v>3</v>
      </c>
      <c r="D5" s="9">
        <v>3</v>
      </c>
      <c r="E5" s="9">
        <f t="shared" si="0"/>
        <v>9</v>
      </c>
      <c r="F5" s="9" t="s">
        <v>423</v>
      </c>
      <c r="G5" s="9" t="s">
        <v>176</v>
      </c>
      <c r="H5" s="9" t="s">
        <v>414</v>
      </c>
      <c r="I5" s="9"/>
      <c r="J5" s="1"/>
      <c r="K5" s="1"/>
    </row>
    <row r="6" spans="1:11" ht="35.75" customHeight="1">
      <c r="A6" s="9" t="s">
        <v>424</v>
      </c>
      <c r="B6" s="9" t="s">
        <v>425</v>
      </c>
      <c r="C6" s="9">
        <v>5</v>
      </c>
      <c r="D6" s="9">
        <v>2</v>
      </c>
      <c r="E6" s="9">
        <f t="shared" si="0"/>
        <v>10</v>
      </c>
      <c r="F6" s="9" t="s">
        <v>426</v>
      </c>
      <c r="G6" s="9" t="s">
        <v>176</v>
      </c>
      <c r="H6" s="9" t="s">
        <v>414</v>
      </c>
      <c r="I6" s="9"/>
      <c r="J6" s="1"/>
      <c r="K6" s="1"/>
    </row>
    <row r="7" spans="1:11" ht="53.25" customHeight="1">
      <c r="A7" s="9" t="s">
        <v>427</v>
      </c>
      <c r="B7" s="9" t="s">
        <v>428</v>
      </c>
      <c r="C7" s="9">
        <v>3</v>
      </c>
      <c r="D7" s="9">
        <v>4</v>
      </c>
      <c r="E7" s="9">
        <f t="shared" si="0"/>
        <v>12</v>
      </c>
      <c r="F7" s="9" t="s">
        <v>429</v>
      </c>
      <c r="G7" s="9" t="s">
        <v>413</v>
      </c>
      <c r="H7" s="9" t="s">
        <v>414</v>
      </c>
      <c r="I7" s="9"/>
      <c r="J7" s="1"/>
      <c r="K7" s="1"/>
    </row>
    <row r="8" spans="1:11" ht="22" customHeight="1">
      <c r="A8" s="9" t="s">
        <v>430</v>
      </c>
      <c r="B8" s="9" t="s">
        <v>431</v>
      </c>
      <c r="C8" s="9">
        <v>5</v>
      </c>
      <c r="D8" s="9">
        <v>3</v>
      </c>
      <c r="E8" s="9">
        <f t="shared" si="0"/>
        <v>15</v>
      </c>
      <c r="F8" s="9" t="s">
        <v>432</v>
      </c>
      <c r="G8" s="9" t="s">
        <v>302</v>
      </c>
      <c r="H8" s="9" t="s">
        <v>414</v>
      </c>
      <c r="I8" s="9"/>
      <c r="J8" s="1"/>
      <c r="K8" s="1"/>
    </row>
    <row r="9" spans="1:11" ht="35.75" customHeight="1">
      <c r="A9" s="2"/>
      <c r="B9" s="2"/>
      <c r="C9" s="2"/>
      <c r="D9" s="2"/>
      <c r="E9" s="2"/>
      <c r="F9" s="2"/>
      <c r="G9" s="2"/>
      <c r="H9" s="2"/>
      <c r="I9" s="2"/>
      <c r="J9" s="1"/>
      <c r="K9" s="1"/>
    </row>
    <row r="10" spans="1:11" ht="35.75" customHeight="1">
      <c r="A10" s="2"/>
      <c r="B10" s="2"/>
      <c r="C10" s="2"/>
      <c r="D10" s="2"/>
      <c r="E10" s="2"/>
      <c r="F10" s="2"/>
      <c r="G10" s="2"/>
      <c r="H10" s="2"/>
      <c r="I10" s="2"/>
      <c r="J10" s="1"/>
      <c r="K10" s="1"/>
    </row>
    <row r="11" spans="1:11" ht="35.75" customHeight="1">
      <c r="A11" s="2"/>
      <c r="B11" s="2"/>
      <c r="C11" s="2"/>
      <c r="D11" s="2"/>
      <c r="E11" s="2"/>
      <c r="F11" s="2"/>
      <c r="G11" s="2"/>
      <c r="H11" s="2"/>
      <c r="I11" s="2"/>
      <c r="J11" s="1"/>
      <c r="K11" s="1"/>
    </row>
    <row r="12" spans="1:11" ht="35.75" customHeight="1">
      <c r="A12" s="2"/>
      <c r="B12" s="2"/>
      <c r="C12" s="2"/>
      <c r="D12" s="2"/>
      <c r="E12" s="2"/>
      <c r="F12" s="2"/>
      <c r="G12" s="2"/>
      <c r="H12" s="2"/>
      <c r="I12" s="2"/>
      <c r="J12" s="1"/>
      <c r="K12" s="1"/>
    </row>
    <row r="13" spans="1:11" ht="35.75" customHeight="1">
      <c r="A13" s="2"/>
      <c r="B13" s="2"/>
      <c r="C13" s="2"/>
      <c r="D13" s="2"/>
      <c r="E13" s="2"/>
      <c r="F13" s="2"/>
      <c r="G13" s="2"/>
      <c r="H13" s="2"/>
      <c r="I13" s="2"/>
      <c r="J13" s="1"/>
      <c r="K13" s="1"/>
    </row>
    <row r="14" spans="1:11" ht="35.75" customHeight="1">
      <c r="A14" s="2"/>
      <c r="B14" s="2"/>
      <c r="C14" s="2"/>
      <c r="D14" s="2"/>
      <c r="E14" s="2"/>
      <c r="F14" s="2"/>
      <c r="G14" s="2"/>
      <c r="H14" s="2"/>
      <c r="I14" s="2"/>
      <c r="J14" s="1"/>
      <c r="K14" s="1"/>
    </row>
    <row r="15" spans="1:11" ht="35.75" customHeight="1">
      <c r="A15" s="2"/>
      <c r="B15" s="2"/>
      <c r="C15" s="2"/>
      <c r="D15" s="2"/>
      <c r="E15" s="2"/>
      <c r="F15" s="2"/>
      <c r="G15" s="2"/>
      <c r="H15" s="2"/>
      <c r="I15" s="2"/>
      <c r="J15" s="1"/>
      <c r="K15" s="1"/>
    </row>
    <row r="16" spans="1:11" ht="35.75" customHeight="1">
      <c r="A16" s="2"/>
      <c r="B16" s="2"/>
      <c r="C16" s="2"/>
      <c r="D16" s="2"/>
      <c r="E16" s="2"/>
      <c r="F16" s="2"/>
      <c r="G16" s="2"/>
      <c r="H16" s="2"/>
      <c r="I16" s="2"/>
      <c r="J16" s="1"/>
      <c r="K16" s="1"/>
    </row>
    <row r="17" spans="1:11" ht="35.75" customHeight="1">
      <c r="A17" s="2"/>
      <c r="B17" s="2"/>
      <c r="C17" s="2"/>
      <c r="D17" s="2"/>
      <c r="E17" s="2"/>
      <c r="F17" s="2"/>
      <c r="G17" s="2"/>
      <c r="H17" s="2"/>
      <c r="I17" s="2"/>
      <c r="J17" s="1"/>
      <c r="K17" s="1"/>
    </row>
    <row r="18" spans="1:11" ht="35.75" customHeight="1">
      <c r="A18" s="2"/>
      <c r="B18" s="2"/>
      <c r="C18" s="2"/>
      <c r="D18" s="2"/>
      <c r="E18" s="2"/>
      <c r="F18" s="2"/>
      <c r="G18" s="2"/>
      <c r="H18" s="2"/>
      <c r="I18" s="2"/>
      <c r="J18" s="1"/>
      <c r="K18" s="1"/>
    </row>
    <row r="19" spans="1:11" ht="35.75" customHeight="1">
      <c r="A19" s="2"/>
      <c r="B19" s="2"/>
      <c r="C19" s="2"/>
      <c r="D19" s="2"/>
      <c r="E19" s="2"/>
      <c r="F19" s="2"/>
      <c r="G19" s="2"/>
      <c r="H19" s="2"/>
      <c r="I19" s="2"/>
      <c r="J19" s="1"/>
      <c r="K19" s="1"/>
    </row>
    <row r="20" spans="1:11" ht="35.75" customHeight="1">
      <c r="A20" s="2"/>
      <c r="B20" s="2"/>
      <c r="C20" s="2"/>
      <c r="D20" s="2"/>
      <c r="E20" s="2"/>
      <c r="F20" s="2"/>
      <c r="G20" s="2"/>
      <c r="H20" s="2"/>
      <c r="I20" s="2"/>
      <c r="J20" s="1"/>
      <c r="K20" s="1"/>
    </row>
    <row r="21" spans="1:11" ht="35.75" customHeight="1">
      <c r="A21" s="2"/>
      <c r="B21" s="2"/>
      <c r="C21" s="2"/>
      <c r="D21" s="2"/>
      <c r="E21" s="2"/>
      <c r="F21" s="2"/>
      <c r="G21" s="2"/>
      <c r="H21" s="2"/>
      <c r="I21" s="2"/>
      <c r="J21" s="1"/>
      <c r="K21" s="1"/>
    </row>
    <row r="22" spans="1:11" ht="35.75" customHeight="1">
      <c r="A22" s="2"/>
      <c r="B22" s="2"/>
      <c r="C22" s="2"/>
      <c r="D22" s="2"/>
      <c r="E22" s="2"/>
      <c r="F22" s="2"/>
      <c r="G22" s="2"/>
      <c r="H22" s="2"/>
      <c r="I22" s="2"/>
      <c r="J22" s="1"/>
      <c r="K22" s="1"/>
    </row>
    <row r="23" spans="1:11" ht="35.75" customHeight="1">
      <c r="A23" s="2"/>
      <c r="B23" s="2"/>
      <c r="C23" s="2"/>
      <c r="D23" s="2"/>
      <c r="E23" s="2"/>
      <c r="F23" s="2"/>
      <c r="G23" s="2"/>
      <c r="H23" s="2"/>
      <c r="I23" s="2"/>
      <c r="J23" s="1"/>
      <c r="K23" s="1"/>
    </row>
    <row r="24" spans="1:11" ht="35.75" customHeight="1">
      <c r="A24" s="2"/>
      <c r="B24" s="2"/>
      <c r="C24" s="2"/>
      <c r="D24" s="2"/>
      <c r="E24" s="2"/>
      <c r="F24" s="2"/>
      <c r="G24" s="2"/>
      <c r="H24" s="2"/>
      <c r="I24" s="2"/>
      <c r="J24" s="1"/>
      <c r="K24" s="1"/>
    </row>
    <row r="25" spans="1:11" ht="35.75" customHeight="1">
      <c r="A25" s="2"/>
      <c r="B25" s="2"/>
      <c r="C25" s="2"/>
      <c r="D25" s="2"/>
      <c r="E25" s="2"/>
      <c r="F25" s="2"/>
      <c r="G25" s="2"/>
      <c r="H25" s="2"/>
      <c r="I25" s="2"/>
      <c r="J25" s="1"/>
      <c r="K25" s="1"/>
    </row>
    <row r="26" spans="1:11" ht="35.75" customHeight="1">
      <c r="A26" s="2"/>
      <c r="B26" s="2"/>
      <c r="C26" s="2"/>
      <c r="D26" s="2"/>
      <c r="E26" s="2"/>
      <c r="F26" s="2"/>
      <c r="G26" s="2"/>
      <c r="H26" s="2"/>
      <c r="I26" s="2"/>
      <c r="J26" s="1"/>
      <c r="K26" s="1"/>
    </row>
    <row r="27" spans="1:11" ht="35.75" customHeight="1">
      <c r="A27" s="2"/>
      <c r="B27" s="2"/>
      <c r="C27" s="2"/>
      <c r="D27" s="2"/>
      <c r="E27" s="2"/>
      <c r="F27" s="2"/>
      <c r="G27" s="2"/>
      <c r="H27" s="2"/>
      <c r="I27" s="2"/>
      <c r="J27" s="1"/>
      <c r="K27" s="1"/>
    </row>
    <row r="28" spans="1:11" ht="35.75" customHeight="1">
      <c r="A28" s="2"/>
      <c r="B28" s="2"/>
      <c r="C28" s="2"/>
      <c r="D28" s="2"/>
      <c r="E28" s="2"/>
      <c r="F28" s="2"/>
      <c r="G28" s="2"/>
      <c r="H28" s="2"/>
      <c r="I28" s="2"/>
      <c r="J28" s="1"/>
      <c r="K28" s="1"/>
    </row>
    <row r="29" spans="1:11" ht="35.75" customHeight="1">
      <c r="A29" s="2"/>
      <c r="B29" s="2"/>
      <c r="C29" s="2"/>
      <c r="D29" s="2"/>
      <c r="E29" s="2"/>
      <c r="F29" s="2"/>
      <c r="G29" s="2"/>
      <c r="H29" s="2"/>
      <c r="I29" s="2"/>
      <c r="J29" s="1"/>
      <c r="K29" s="1"/>
    </row>
    <row r="30" spans="1:11" ht="35.75" customHeight="1">
      <c r="A30" s="2"/>
      <c r="B30" s="2"/>
      <c r="C30" s="2"/>
      <c r="D30" s="2"/>
      <c r="E30" s="2"/>
      <c r="F30" s="2"/>
      <c r="G30" s="2"/>
      <c r="H30" s="2"/>
      <c r="I30" s="2"/>
      <c r="J30" s="1"/>
      <c r="K30" s="1"/>
    </row>
    <row r="31" spans="1:11" ht="35.75" customHeight="1">
      <c r="A31" s="2"/>
      <c r="B31" s="2"/>
      <c r="C31" s="2"/>
      <c r="D31" s="2"/>
      <c r="E31" s="2"/>
      <c r="F31" s="2"/>
      <c r="G31" s="2"/>
      <c r="H31" s="2"/>
      <c r="I31" s="2"/>
      <c r="J31" s="1"/>
      <c r="K31" s="1"/>
    </row>
    <row r="32" spans="1:11" ht="35.75" customHeight="1">
      <c r="A32" s="2"/>
      <c r="B32" s="2"/>
      <c r="C32" s="2"/>
      <c r="D32" s="2"/>
      <c r="E32" s="2"/>
      <c r="F32" s="2"/>
      <c r="G32" s="2"/>
      <c r="H32" s="2"/>
      <c r="I32" s="2"/>
      <c r="J32" s="1"/>
      <c r="K32" s="1"/>
    </row>
    <row r="33" spans="1:11" ht="35.75" customHeight="1">
      <c r="A33" s="2"/>
      <c r="B33" s="2"/>
      <c r="C33" s="2"/>
      <c r="D33" s="2"/>
      <c r="E33" s="2"/>
      <c r="F33" s="2"/>
      <c r="G33" s="2"/>
      <c r="H33" s="2"/>
      <c r="I33" s="2"/>
      <c r="J33" s="1"/>
      <c r="K33" s="1"/>
    </row>
    <row r="34" spans="1:11" ht="35.75" customHeight="1">
      <c r="A34" s="2"/>
      <c r="B34" s="2"/>
      <c r="C34" s="2"/>
      <c r="D34" s="2"/>
      <c r="E34" s="2"/>
      <c r="F34" s="2"/>
      <c r="G34" s="2"/>
      <c r="H34" s="2"/>
      <c r="I34" s="2"/>
      <c r="J34" s="1"/>
      <c r="K34" s="1"/>
    </row>
    <row r="35" spans="1:11" ht="35.75" customHeight="1">
      <c r="A35" s="2"/>
      <c r="B35" s="2"/>
      <c r="C35" s="2"/>
      <c r="D35" s="2"/>
      <c r="E35" s="2"/>
      <c r="F35" s="2"/>
      <c r="G35" s="2"/>
      <c r="H35" s="2"/>
      <c r="I35" s="2"/>
      <c r="J35" s="1"/>
      <c r="K35" s="1"/>
    </row>
    <row r="36" spans="1:11" ht="35.75" customHeight="1">
      <c r="A36" s="2"/>
      <c r="B36" s="2"/>
      <c r="C36" s="2"/>
      <c r="D36" s="2"/>
      <c r="E36" s="2"/>
      <c r="F36" s="2"/>
      <c r="G36" s="2"/>
      <c r="H36" s="2"/>
      <c r="I36" s="2"/>
      <c r="J36" s="1"/>
      <c r="K36" s="1"/>
    </row>
    <row r="37" spans="1:11" ht="35.75" customHeight="1">
      <c r="A37" s="2"/>
      <c r="B37" s="2"/>
      <c r="C37" s="2"/>
      <c r="D37" s="2"/>
      <c r="E37" s="2"/>
      <c r="F37" s="2"/>
      <c r="G37" s="2"/>
      <c r="H37" s="2"/>
      <c r="I37" s="2"/>
      <c r="J37" s="1"/>
      <c r="K37" s="1"/>
    </row>
    <row r="38" spans="1:11" ht="35.75" customHeight="1">
      <c r="A38" s="2"/>
      <c r="B38" s="2"/>
      <c r="C38" s="2"/>
      <c r="D38" s="2"/>
      <c r="E38" s="2"/>
      <c r="F38" s="2"/>
      <c r="G38" s="2"/>
      <c r="H38" s="2"/>
      <c r="I38" s="2"/>
      <c r="J38" s="1"/>
      <c r="K38" s="1"/>
    </row>
    <row r="39" spans="1:11" ht="35.75" customHeight="1">
      <c r="A39" s="2"/>
      <c r="B39" s="2"/>
      <c r="C39" s="2"/>
      <c r="D39" s="2"/>
      <c r="E39" s="2"/>
      <c r="F39" s="2"/>
      <c r="G39" s="2"/>
      <c r="H39" s="2"/>
      <c r="I39" s="2"/>
      <c r="J39" s="1"/>
      <c r="K39" s="1"/>
    </row>
    <row r="40" spans="1:11" ht="35.75" customHeight="1">
      <c r="A40" s="2"/>
      <c r="B40" s="2"/>
      <c r="C40" s="2"/>
      <c r="D40" s="2"/>
      <c r="E40" s="2"/>
      <c r="F40" s="2"/>
      <c r="G40" s="2"/>
      <c r="H40" s="2"/>
      <c r="I40" s="2"/>
      <c r="J40" s="1"/>
      <c r="K40" s="1"/>
    </row>
    <row r="41" spans="1:11" ht="35.75" customHeight="1">
      <c r="A41" s="2"/>
      <c r="B41" s="2"/>
      <c r="C41" s="2"/>
      <c r="D41" s="2"/>
      <c r="E41" s="2"/>
      <c r="F41" s="2"/>
      <c r="G41" s="2"/>
      <c r="H41" s="2"/>
      <c r="I41" s="2"/>
      <c r="J41" s="1"/>
      <c r="K41" s="1"/>
    </row>
    <row r="42" spans="1:11" ht="35.75" customHeight="1">
      <c r="A42" s="2"/>
      <c r="B42" s="2"/>
      <c r="C42" s="2"/>
      <c r="D42" s="2"/>
      <c r="E42" s="2"/>
      <c r="F42" s="2"/>
      <c r="G42" s="2"/>
      <c r="H42" s="2"/>
      <c r="I42" s="2"/>
      <c r="J42" s="1"/>
      <c r="K42" s="1"/>
    </row>
    <row r="43" spans="1:11" ht="35.75" customHeight="1">
      <c r="A43" s="2"/>
      <c r="B43" s="2"/>
      <c r="C43" s="2"/>
      <c r="D43" s="2"/>
      <c r="E43" s="2"/>
      <c r="F43" s="2"/>
      <c r="G43" s="2"/>
      <c r="H43" s="2"/>
      <c r="I43" s="2"/>
      <c r="J43" s="1"/>
      <c r="K43" s="1"/>
    </row>
    <row r="44" spans="1:11" ht="35.75" customHeight="1">
      <c r="A44" s="2"/>
      <c r="B44" s="2"/>
      <c r="C44" s="2"/>
      <c r="D44" s="2"/>
      <c r="E44" s="2"/>
      <c r="F44" s="2"/>
      <c r="G44" s="2"/>
      <c r="H44" s="2"/>
      <c r="I44" s="2"/>
      <c r="J44" s="1"/>
      <c r="K44" s="1"/>
    </row>
    <row r="45" spans="1:11" ht="35.75" customHeight="1">
      <c r="A45" s="2"/>
      <c r="B45" s="2"/>
      <c r="C45" s="2"/>
      <c r="D45" s="2"/>
      <c r="E45" s="2"/>
      <c r="F45" s="2"/>
      <c r="G45" s="2"/>
      <c r="H45" s="2"/>
      <c r="I45" s="2"/>
      <c r="J45" s="1"/>
      <c r="K45" s="1"/>
    </row>
    <row r="46" spans="1:11" ht="35.75" customHeight="1">
      <c r="A46" s="2"/>
      <c r="B46" s="2"/>
      <c r="C46" s="2"/>
      <c r="D46" s="2"/>
      <c r="E46" s="2"/>
      <c r="F46" s="2"/>
      <c r="G46" s="2"/>
      <c r="H46" s="2"/>
      <c r="I46" s="2"/>
      <c r="J46" s="1"/>
      <c r="K46" s="1"/>
    </row>
    <row r="47" spans="1:11" ht="35.75" customHeight="1">
      <c r="A47" s="2"/>
      <c r="B47" s="2"/>
      <c r="C47" s="2"/>
      <c r="D47" s="2"/>
      <c r="E47" s="2"/>
      <c r="F47" s="2"/>
      <c r="G47" s="2"/>
      <c r="H47" s="2"/>
      <c r="I47" s="2"/>
      <c r="J47" s="1"/>
      <c r="K47" s="1"/>
    </row>
    <row r="48" spans="1:11" ht="35.75" customHeight="1">
      <c r="A48" s="2"/>
      <c r="B48" s="2"/>
      <c r="C48" s="2"/>
      <c r="D48" s="2"/>
      <c r="E48" s="2"/>
      <c r="F48" s="2"/>
      <c r="G48" s="2"/>
      <c r="H48" s="2"/>
      <c r="I48" s="2"/>
      <c r="J48" s="1"/>
      <c r="K48" s="1"/>
    </row>
    <row r="49" spans="1:11" ht="35.75" customHeight="1">
      <c r="A49" s="2"/>
      <c r="B49" s="2"/>
      <c r="C49" s="2"/>
      <c r="D49" s="2"/>
      <c r="E49" s="2"/>
      <c r="F49" s="2"/>
      <c r="G49" s="2"/>
      <c r="H49" s="2"/>
      <c r="I49" s="2"/>
      <c r="J49" s="1"/>
      <c r="K49" s="1"/>
    </row>
    <row r="50" spans="1:11" ht="35.75" customHeight="1">
      <c r="A50" s="2"/>
      <c r="B50" s="2"/>
      <c r="C50" s="2"/>
      <c r="D50" s="2"/>
      <c r="E50" s="2"/>
      <c r="F50" s="2"/>
      <c r="G50" s="2"/>
      <c r="H50" s="2"/>
      <c r="I50" s="2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dataValidations count="2">
    <dataValidation type="list" allowBlank="1" sqref="G2:G100" xr:uid="{00000000-0002-0000-0600-000000000000}">
      <formula1>"Developer,Product Owner,Tester,Designer,DevOps"</formula1>
    </dataValidation>
    <dataValidation type="list" allowBlank="1" sqref="H2:H100" xr:uid="{00000000-0002-0000-0600-000001000000}">
      <formula1>"Open,Monitoring,Mitigated,Closed,Accepted"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00"/>
  <sheetViews>
    <sheetView zoomScale="140" zoomScaleNormal="140" workbookViewId="0">
      <selection activeCell="D9" sqref="D9"/>
    </sheetView>
  </sheetViews>
  <sheetFormatPr baseColWidth="10" defaultColWidth="8.83203125" defaultRowHeight="15"/>
  <cols>
    <col min="1" max="1" width="20.6640625" customWidth="1"/>
    <col min="2" max="2" width="13.5" customWidth="1"/>
    <col min="3" max="3" width="7.33203125" customWidth="1"/>
    <col min="4" max="4" width="56.1640625" customWidth="1"/>
    <col min="5" max="5" width="41.33203125" customWidth="1"/>
    <col min="6" max="6" width="10.33203125" customWidth="1"/>
  </cols>
  <sheetData>
    <row r="1" spans="1:11" ht="45.25" customHeight="1">
      <c r="A1" s="4" t="s">
        <v>433</v>
      </c>
      <c r="B1" s="4" t="s">
        <v>434</v>
      </c>
      <c r="C1" s="4" t="s">
        <v>136</v>
      </c>
      <c r="D1" s="4" t="s">
        <v>435</v>
      </c>
      <c r="E1" s="4" t="s">
        <v>436</v>
      </c>
      <c r="F1" s="4" t="s">
        <v>24</v>
      </c>
      <c r="G1" s="1"/>
      <c r="H1" s="1"/>
      <c r="I1" s="1"/>
      <c r="J1" s="1"/>
      <c r="K1" s="1"/>
    </row>
    <row r="2" spans="1:11" ht="22" customHeight="1">
      <c r="A2" s="9" t="s">
        <v>437</v>
      </c>
      <c r="B2" s="9" t="s">
        <v>180</v>
      </c>
      <c r="C2" s="9" t="s">
        <v>192</v>
      </c>
      <c r="D2" s="9" t="s">
        <v>438</v>
      </c>
      <c r="E2" s="9" t="s">
        <v>439</v>
      </c>
      <c r="F2" s="9" t="s">
        <v>385</v>
      </c>
      <c r="G2" s="1"/>
      <c r="H2" s="1"/>
      <c r="I2" s="1"/>
      <c r="J2" s="1"/>
      <c r="K2" s="1"/>
    </row>
    <row r="3" spans="1:11" ht="22" customHeight="1">
      <c r="A3" s="9" t="s">
        <v>440</v>
      </c>
      <c r="B3" s="9" t="s">
        <v>206</v>
      </c>
      <c r="C3" s="9" t="s">
        <v>207</v>
      </c>
      <c r="D3" s="9" t="s">
        <v>441</v>
      </c>
      <c r="E3" s="9" t="s">
        <v>442</v>
      </c>
      <c r="F3" s="9" t="s">
        <v>385</v>
      </c>
      <c r="G3" s="1"/>
      <c r="H3" s="1"/>
      <c r="I3" s="1"/>
      <c r="J3" s="1"/>
      <c r="K3" s="1"/>
    </row>
    <row r="4" spans="1:11" ht="22" customHeight="1">
      <c r="A4" s="9" t="s">
        <v>443</v>
      </c>
      <c r="B4" s="9" t="s">
        <v>221</v>
      </c>
      <c r="C4" s="9" t="s">
        <v>222</v>
      </c>
      <c r="D4" s="9" t="s">
        <v>444</v>
      </c>
      <c r="E4" s="9" t="s">
        <v>445</v>
      </c>
      <c r="F4" s="9" t="s">
        <v>385</v>
      </c>
      <c r="G4" s="1"/>
      <c r="H4" s="1"/>
      <c r="I4" s="1"/>
      <c r="J4" s="1"/>
      <c r="K4" s="1"/>
    </row>
    <row r="5" spans="1:11" ht="22" customHeight="1">
      <c r="A5" s="9" t="s">
        <v>446</v>
      </c>
      <c r="B5" s="9" t="s">
        <v>447</v>
      </c>
      <c r="C5" s="9" t="s">
        <v>239</v>
      </c>
      <c r="D5" s="9" t="s">
        <v>448</v>
      </c>
      <c r="E5" s="9" t="s">
        <v>449</v>
      </c>
      <c r="F5" s="9" t="s">
        <v>385</v>
      </c>
      <c r="G5" s="1"/>
      <c r="H5" s="1"/>
      <c r="I5" s="1"/>
      <c r="J5" s="1"/>
      <c r="K5" s="1"/>
    </row>
    <row r="6" spans="1:11" ht="22" customHeight="1">
      <c r="A6" s="9" t="s">
        <v>450</v>
      </c>
      <c r="B6" s="9" t="s">
        <v>206</v>
      </c>
      <c r="C6" s="9" t="s">
        <v>256</v>
      </c>
      <c r="D6" s="9" t="s">
        <v>451</v>
      </c>
      <c r="E6" s="9" t="s">
        <v>452</v>
      </c>
      <c r="F6" s="9" t="s">
        <v>385</v>
      </c>
      <c r="G6" s="1"/>
      <c r="H6" s="1"/>
      <c r="I6" s="1"/>
      <c r="J6" s="1"/>
      <c r="K6" s="1"/>
    </row>
    <row r="7" spans="1:11" ht="22" customHeight="1">
      <c r="A7" s="9" t="s">
        <v>453</v>
      </c>
      <c r="B7" s="9" t="s">
        <v>173</v>
      </c>
      <c r="C7" s="9" t="s">
        <v>267</v>
      </c>
      <c r="D7" s="9" t="s">
        <v>454</v>
      </c>
      <c r="E7" s="9" t="s">
        <v>455</v>
      </c>
      <c r="F7" s="9" t="s">
        <v>385</v>
      </c>
      <c r="G7" s="1"/>
      <c r="H7" s="1"/>
      <c r="I7" s="1"/>
      <c r="J7" s="1"/>
      <c r="K7" s="1"/>
    </row>
    <row r="8" spans="1:11" ht="35.75" customHeight="1">
      <c r="A8" s="9" t="s">
        <v>456</v>
      </c>
      <c r="B8" s="9" t="s">
        <v>457</v>
      </c>
      <c r="C8" s="9" t="s">
        <v>294</v>
      </c>
      <c r="D8" s="9" t="s">
        <v>458</v>
      </c>
      <c r="E8" s="9" t="s">
        <v>459</v>
      </c>
      <c r="F8" s="9" t="s">
        <v>385</v>
      </c>
      <c r="G8" s="1"/>
      <c r="H8" s="1"/>
      <c r="I8" s="1"/>
      <c r="J8" s="1"/>
      <c r="K8" s="1"/>
    </row>
    <row r="9" spans="1:11" ht="35.75" customHeight="1">
      <c r="A9" s="2"/>
      <c r="B9" s="2"/>
      <c r="C9" s="2"/>
      <c r="D9" s="2"/>
      <c r="E9" s="2"/>
      <c r="F9" s="2"/>
      <c r="G9" s="1"/>
      <c r="H9" s="1"/>
      <c r="I9" s="1"/>
      <c r="J9" s="1"/>
      <c r="K9" s="1"/>
    </row>
    <row r="10" spans="1:11" ht="35.75" customHeight="1">
      <c r="A10" s="2"/>
      <c r="B10" s="2"/>
      <c r="C10" s="2"/>
      <c r="D10" s="2"/>
      <c r="E10" s="2"/>
      <c r="F10" s="2"/>
      <c r="G10" s="1"/>
      <c r="H10" s="1"/>
      <c r="I10" s="1"/>
      <c r="J10" s="1"/>
      <c r="K10" s="1"/>
    </row>
    <row r="11" spans="1:11" ht="35.75" customHeight="1">
      <c r="A11" s="2"/>
      <c r="B11" s="2"/>
      <c r="C11" s="2"/>
      <c r="D11" s="2"/>
      <c r="E11" s="2"/>
      <c r="F11" s="2"/>
      <c r="G11" s="1"/>
      <c r="H11" s="1"/>
      <c r="I11" s="1"/>
      <c r="J11" s="1"/>
      <c r="K11" s="1"/>
    </row>
    <row r="12" spans="1:11" ht="35.75" customHeight="1">
      <c r="A12" s="2"/>
      <c r="B12" s="2"/>
      <c r="C12" s="2"/>
      <c r="D12" s="2"/>
      <c r="E12" s="2"/>
      <c r="F12" s="2"/>
      <c r="G12" s="1"/>
      <c r="H12" s="1"/>
      <c r="I12" s="1"/>
      <c r="J12" s="1"/>
      <c r="K12" s="1"/>
    </row>
    <row r="13" spans="1:11" ht="35.75" customHeight="1">
      <c r="A13" s="2"/>
      <c r="B13" s="2"/>
      <c r="C13" s="2"/>
      <c r="D13" s="2"/>
      <c r="E13" s="2"/>
      <c r="F13" s="2"/>
      <c r="G13" s="1"/>
      <c r="H13" s="1"/>
      <c r="I13" s="1"/>
      <c r="J13" s="1"/>
      <c r="K13" s="1"/>
    </row>
    <row r="14" spans="1:11" ht="35.75" customHeight="1">
      <c r="A14" s="2"/>
      <c r="B14" s="2"/>
      <c r="C14" s="2"/>
      <c r="D14" s="2"/>
      <c r="E14" s="2"/>
      <c r="F14" s="2"/>
      <c r="G14" s="1"/>
      <c r="H14" s="1"/>
      <c r="I14" s="1"/>
      <c r="J14" s="1"/>
      <c r="K14" s="1"/>
    </row>
    <row r="15" spans="1:11" ht="35.75" customHeight="1">
      <c r="A15" s="2"/>
      <c r="B15" s="2"/>
      <c r="C15" s="2"/>
      <c r="D15" s="2"/>
      <c r="E15" s="2"/>
      <c r="F15" s="2"/>
      <c r="G15" s="1"/>
      <c r="H15" s="1"/>
      <c r="I15" s="1"/>
      <c r="J15" s="1"/>
      <c r="K15" s="1"/>
    </row>
    <row r="16" spans="1:11" ht="35.75" customHeight="1">
      <c r="A16" s="2"/>
      <c r="B16" s="2"/>
      <c r="C16" s="2"/>
      <c r="D16" s="2"/>
      <c r="E16" s="2"/>
      <c r="F16" s="2"/>
      <c r="G16" s="1"/>
      <c r="H16" s="1"/>
      <c r="I16" s="1"/>
      <c r="J16" s="1"/>
      <c r="K16" s="1"/>
    </row>
    <row r="17" spans="1:11" ht="35.75" customHeight="1">
      <c r="A17" s="2"/>
      <c r="B17" s="2"/>
      <c r="C17" s="2"/>
      <c r="D17" s="2"/>
      <c r="E17" s="2"/>
      <c r="F17" s="2"/>
      <c r="G17" s="1"/>
      <c r="H17" s="1"/>
      <c r="I17" s="1"/>
      <c r="J17" s="1"/>
      <c r="K17" s="1"/>
    </row>
    <row r="18" spans="1:11" ht="35.75" customHeight="1">
      <c r="A18" s="2"/>
      <c r="B18" s="2"/>
      <c r="C18" s="2"/>
      <c r="D18" s="2"/>
      <c r="E18" s="2"/>
      <c r="F18" s="2"/>
      <c r="G18" s="1"/>
      <c r="H18" s="1"/>
      <c r="I18" s="1"/>
      <c r="J18" s="1"/>
      <c r="K18" s="1"/>
    </row>
    <row r="19" spans="1:11" ht="35.75" customHeight="1">
      <c r="A19" s="2"/>
      <c r="B19" s="2"/>
      <c r="C19" s="2"/>
      <c r="D19" s="2"/>
      <c r="E19" s="2"/>
      <c r="F19" s="2"/>
      <c r="G19" s="1"/>
      <c r="H19" s="1"/>
      <c r="I19" s="1"/>
      <c r="J19" s="1"/>
      <c r="K19" s="1"/>
    </row>
    <row r="20" spans="1:11" ht="35.75" customHeight="1">
      <c r="A20" s="2"/>
      <c r="B20" s="2"/>
      <c r="C20" s="2"/>
      <c r="D20" s="2"/>
      <c r="E20" s="2"/>
      <c r="F20" s="2"/>
      <c r="G20" s="1"/>
      <c r="H20" s="1"/>
      <c r="I20" s="1"/>
      <c r="J20" s="1"/>
      <c r="K20" s="1"/>
    </row>
    <row r="21" spans="1:11" ht="35.75" customHeight="1">
      <c r="A21" s="2"/>
      <c r="B21" s="2"/>
      <c r="C21" s="2"/>
      <c r="D21" s="2"/>
      <c r="E21" s="2"/>
      <c r="F21" s="2"/>
      <c r="G21" s="1"/>
      <c r="H21" s="1"/>
      <c r="I21" s="1"/>
      <c r="J21" s="1"/>
      <c r="K21" s="1"/>
    </row>
    <row r="22" spans="1:11" ht="35.75" customHeight="1">
      <c r="A22" s="2"/>
      <c r="B22" s="2"/>
      <c r="C22" s="2"/>
      <c r="D22" s="2"/>
      <c r="E22" s="2"/>
      <c r="F22" s="2"/>
      <c r="G22" s="1"/>
      <c r="H22" s="1"/>
      <c r="I22" s="1"/>
      <c r="J22" s="1"/>
      <c r="K22" s="1"/>
    </row>
    <row r="23" spans="1:11" ht="35.75" customHeight="1">
      <c r="A23" s="2"/>
      <c r="B23" s="2"/>
      <c r="C23" s="2"/>
      <c r="D23" s="2"/>
      <c r="E23" s="2"/>
      <c r="F23" s="2"/>
      <c r="G23" s="1"/>
      <c r="H23" s="1"/>
      <c r="I23" s="1"/>
      <c r="J23" s="1"/>
      <c r="K23" s="1"/>
    </row>
    <row r="24" spans="1:11" ht="35.75" customHeight="1">
      <c r="A24" s="2"/>
      <c r="B24" s="2"/>
      <c r="C24" s="2"/>
      <c r="D24" s="2"/>
      <c r="E24" s="2"/>
      <c r="F24" s="2"/>
      <c r="G24" s="1"/>
      <c r="H24" s="1"/>
      <c r="I24" s="1"/>
      <c r="J24" s="1"/>
      <c r="K24" s="1"/>
    </row>
    <row r="25" spans="1:11" ht="35.75" customHeight="1">
      <c r="A25" s="2"/>
      <c r="B25" s="2"/>
      <c r="C25" s="2"/>
      <c r="D25" s="2"/>
      <c r="E25" s="2"/>
      <c r="F25" s="2"/>
      <c r="G25" s="1"/>
      <c r="H25" s="1"/>
      <c r="I25" s="1"/>
      <c r="J25" s="1"/>
      <c r="K25" s="1"/>
    </row>
    <row r="26" spans="1:11" ht="35.75" customHeight="1">
      <c r="A26" s="2"/>
      <c r="B26" s="2"/>
      <c r="C26" s="2"/>
      <c r="D26" s="2"/>
      <c r="E26" s="2"/>
      <c r="F26" s="2"/>
      <c r="G26" s="1"/>
      <c r="H26" s="1"/>
      <c r="I26" s="1"/>
      <c r="J26" s="1"/>
      <c r="K26" s="1"/>
    </row>
    <row r="27" spans="1:11" ht="35.75" customHeight="1">
      <c r="A27" s="2"/>
      <c r="B27" s="2"/>
      <c r="C27" s="2"/>
      <c r="D27" s="2"/>
      <c r="E27" s="2"/>
      <c r="F27" s="2"/>
      <c r="G27" s="1"/>
      <c r="H27" s="1"/>
      <c r="I27" s="1"/>
      <c r="J27" s="1"/>
      <c r="K27" s="1"/>
    </row>
    <row r="28" spans="1:11" ht="35.75" customHeight="1">
      <c r="A28" s="2"/>
      <c r="B28" s="2"/>
      <c r="C28" s="2"/>
      <c r="D28" s="2"/>
      <c r="E28" s="2"/>
      <c r="F28" s="2"/>
      <c r="G28" s="1"/>
      <c r="H28" s="1"/>
      <c r="I28" s="1"/>
      <c r="J28" s="1"/>
      <c r="K28" s="1"/>
    </row>
    <row r="29" spans="1:11" ht="35.75" customHeight="1">
      <c r="A29" s="2"/>
      <c r="B29" s="2"/>
      <c r="C29" s="2"/>
      <c r="D29" s="2"/>
      <c r="E29" s="2"/>
      <c r="F29" s="2"/>
      <c r="G29" s="1"/>
      <c r="H29" s="1"/>
      <c r="I29" s="1"/>
      <c r="J29" s="1"/>
      <c r="K29" s="1"/>
    </row>
    <row r="30" spans="1:11" ht="35.75" customHeight="1">
      <c r="A30" s="2"/>
      <c r="B30" s="2"/>
      <c r="C30" s="2"/>
      <c r="D30" s="2"/>
      <c r="E30" s="2"/>
      <c r="F30" s="2"/>
      <c r="G30" s="1"/>
      <c r="H30" s="1"/>
      <c r="I30" s="1"/>
      <c r="J30" s="1"/>
      <c r="K30" s="1"/>
    </row>
    <row r="31" spans="1:11" ht="35.75" customHeight="1">
      <c r="A31" s="2"/>
      <c r="B31" s="2"/>
      <c r="C31" s="2"/>
      <c r="D31" s="2"/>
      <c r="E31" s="2"/>
      <c r="F31" s="2"/>
      <c r="G31" s="1"/>
      <c r="H31" s="1"/>
      <c r="I31" s="1"/>
      <c r="J31" s="1"/>
      <c r="K31" s="1"/>
    </row>
    <row r="32" spans="1:11" ht="35.75" customHeight="1">
      <c r="A32" s="2"/>
      <c r="B32" s="2"/>
      <c r="C32" s="2"/>
      <c r="D32" s="2"/>
      <c r="E32" s="2"/>
      <c r="F32" s="2"/>
      <c r="G32" s="1"/>
      <c r="H32" s="1"/>
      <c r="I32" s="1"/>
      <c r="J32" s="1"/>
      <c r="K32" s="1"/>
    </row>
    <row r="33" spans="1:11" ht="35.75" customHeight="1">
      <c r="A33" s="2"/>
      <c r="B33" s="2"/>
      <c r="C33" s="2"/>
      <c r="D33" s="2"/>
      <c r="E33" s="2"/>
      <c r="F33" s="2"/>
      <c r="G33" s="1"/>
      <c r="H33" s="1"/>
      <c r="I33" s="1"/>
      <c r="J33" s="1"/>
      <c r="K33" s="1"/>
    </row>
    <row r="34" spans="1:11" ht="35.75" customHeight="1">
      <c r="A34" s="2"/>
      <c r="B34" s="2"/>
      <c r="C34" s="2"/>
      <c r="D34" s="2"/>
      <c r="E34" s="2"/>
      <c r="F34" s="2"/>
      <c r="G34" s="1"/>
      <c r="H34" s="1"/>
      <c r="I34" s="1"/>
      <c r="J34" s="1"/>
      <c r="K34" s="1"/>
    </row>
    <row r="35" spans="1:11" ht="35.75" customHeight="1">
      <c r="A35" s="2"/>
      <c r="B35" s="2"/>
      <c r="C35" s="2"/>
      <c r="D35" s="2"/>
      <c r="E35" s="2"/>
      <c r="F35" s="2"/>
      <c r="G35" s="1"/>
      <c r="H35" s="1"/>
      <c r="I35" s="1"/>
      <c r="J35" s="1"/>
      <c r="K35" s="1"/>
    </row>
    <row r="36" spans="1:11" ht="35.75" customHeight="1">
      <c r="A36" s="2"/>
      <c r="B36" s="2"/>
      <c r="C36" s="2"/>
      <c r="D36" s="2"/>
      <c r="E36" s="2"/>
      <c r="F36" s="2"/>
      <c r="G36" s="1"/>
      <c r="H36" s="1"/>
      <c r="I36" s="1"/>
      <c r="J36" s="1"/>
      <c r="K36" s="1"/>
    </row>
    <row r="37" spans="1:11" ht="35.75" customHeight="1">
      <c r="A37" s="2"/>
      <c r="B37" s="2"/>
      <c r="C37" s="2"/>
      <c r="D37" s="2"/>
      <c r="E37" s="2"/>
      <c r="F37" s="2"/>
      <c r="G37" s="1"/>
      <c r="H37" s="1"/>
      <c r="I37" s="1"/>
      <c r="J37" s="1"/>
      <c r="K37" s="1"/>
    </row>
    <row r="38" spans="1:11" ht="35.75" customHeight="1">
      <c r="A38" s="2"/>
      <c r="B38" s="2"/>
      <c r="C38" s="2"/>
      <c r="D38" s="2"/>
      <c r="E38" s="2"/>
      <c r="F38" s="2"/>
      <c r="G38" s="1"/>
      <c r="H38" s="1"/>
      <c r="I38" s="1"/>
      <c r="J38" s="1"/>
      <c r="K38" s="1"/>
    </row>
    <row r="39" spans="1:11" ht="35.75" customHeight="1">
      <c r="A39" s="2"/>
      <c r="B39" s="2"/>
      <c r="C39" s="2"/>
      <c r="D39" s="2"/>
      <c r="E39" s="2"/>
      <c r="F39" s="2"/>
      <c r="G39" s="1"/>
      <c r="H39" s="1"/>
      <c r="I39" s="1"/>
      <c r="J39" s="1"/>
      <c r="K39" s="1"/>
    </row>
    <row r="40" spans="1:11" ht="35.75" customHeight="1">
      <c r="A40" s="2"/>
      <c r="B40" s="2"/>
      <c r="C40" s="2"/>
      <c r="D40" s="2"/>
      <c r="E40" s="2"/>
      <c r="F40" s="2"/>
      <c r="G40" s="1"/>
      <c r="H40" s="1"/>
      <c r="I40" s="1"/>
      <c r="J40" s="1"/>
      <c r="K40" s="1"/>
    </row>
    <row r="41" spans="1:11" ht="35.75" customHeight="1">
      <c r="A41" s="2"/>
      <c r="B41" s="2"/>
      <c r="C41" s="2"/>
      <c r="D41" s="2"/>
      <c r="E41" s="2"/>
      <c r="F41" s="2"/>
      <c r="G41" s="1"/>
      <c r="H41" s="1"/>
      <c r="I41" s="1"/>
      <c r="J41" s="1"/>
      <c r="K41" s="1"/>
    </row>
    <row r="42" spans="1:11" ht="35.75" customHeight="1">
      <c r="A42" s="2"/>
      <c r="B42" s="2"/>
      <c r="C42" s="2"/>
      <c r="D42" s="2"/>
      <c r="E42" s="2"/>
      <c r="F42" s="2"/>
      <c r="G42" s="1"/>
      <c r="H42" s="1"/>
      <c r="I42" s="1"/>
      <c r="J42" s="1"/>
      <c r="K42" s="1"/>
    </row>
    <row r="43" spans="1:11" ht="35.75" customHeight="1">
      <c r="A43" s="2"/>
      <c r="B43" s="2"/>
      <c r="C43" s="2"/>
      <c r="D43" s="2"/>
      <c r="E43" s="2"/>
      <c r="F43" s="2"/>
      <c r="G43" s="1"/>
      <c r="H43" s="1"/>
      <c r="I43" s="1"/>
      <c r="J43" s="1"/>
      <c r="K43" s="1"/>
    </row>
    <row r="44" spans="1:11" ht="35.75" customHeight="1">
      <c r="A44" s="2"/>
      <c r="B44" s="2"/>
      <c r="C44" s="2"/>
      <c r="D44" s="2"/>
      <c r="E44" s="2"/>
      <c r="F44" s="2"/>
      <c r="G44" s="1"/>
      <c r="H44" s="1"/>
      <c r="I44" s="1"/>
      <c r="J44" s="1"/>
      <c r="K44" s="1"/>
    </row>
    <row r="45" spans="1:11" ht="35.75" customHeight="1">
      <c r="A45" s="2"/>
      <c r="B45" s="2"/>
      <c r="C45" s="2"/>
      <c r="D45" s="2"/>
      <c r="E45" s="2"/>
      <c r="F45" s="2"/>
      <c r="G45" s="1"/>
      <c r="H45" s="1"/>
      <c r="I45" s="1"/>
      <c r="J45" s="1"/>
      <c r="K45" s="1"/>
    </row>
    <row r="46" spans="1:11" ht="35.75" customHeight="1">
      <c r="A46" s="2"/>
      <c r="B46" s="2"/>
      <c r="C46" s="2"/>
      <c r="D46" s="2"/>
      <c r="E46" s="2"/>
      <c r="F46" s="2"/>
      <c r="G46" s="1"/>
      <c r="H46" s="1"/>
      <c r="I46" s="1"/>
      <c r="J46" s="1"/>
      <c r="K46" s="1"/>
    </row>
    <row r="47" spans="1:11" ht="35.75" customHeight="1">
      <c r="A47" s="2"/>
      <c r="B47" s="2"/>
      <c r="C47" s="2"/>
      <c r="D47" s="2"/>
      <c r="E47" s="2"/>
      <c r="F47" s="2"/>
      <c r="G47" s="1"/>
      <c r="H47" s="1"/>
      <c r="I47" s="1"/>
      <c r="J47" s="1"/>
      <c r="K47" s="1"/>
    </row>
    <row r="48" spans="1:11" ht="35.75" customHeight="1">
      <c r="A48" s="2"/>
      <c r="B48" s="2"/>
      <c r="C48" s="2"/>
      <c r="D48" s="2"/>
      <c r="E48" s="2"/>
      <c r="F48" s="2"/>
      <c r="G48" s="1"/>
      <c r="H48" s="1"/>
      <c r="I48" s="1"/>
      <c r="J48" s="1"/>
      <c r="K48" s="1"/>
    </row>
    <row r="49" spans="1:11" ht="35.75" customHeight="1">
      <c r="A49" s="2"/>
      <c r="B49" s="2"/>
      <c r="C49" s="2"/>
      <c r="D49" s="2"/>
      <c r="E49" s="2"/>
      <c r="F49" s="2"/>
      <c r="G49" s="1"/>
      <c r="H49" s="1"/>
      <c r="I49" s="1"/>
      <c r="J49" s="1"/>
      <c r="K49" s="1"/>
    </row>
    <row r="50" spans="1:11" ht="35.75" customHeight="1">
      <c r="A50" s="2"/>
      <c r="B50" s="2"/>
      <c r="C50" s="2"/>
      <c r="D50" s="2"/>
      <c r="E50" s="2"/>
      <c r="F50" s="2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dataValidations count="1">
    <dataValidation type="list" allowBlank="1" sqref="F2:F100" xr:uid="{00000000-0002-0000-0700-000000000000}">
      <formula1>"Not Started,In Progress,Done,Blocked,Deferred,N/A"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00"/>
  <sheetViews>
    <sheetView workbookViewId="0">
      <selection activeCell="I2" sqref="I2"/>
    </sheetView>
  </sheetViews>
  <sheetFormatPr baseColWidth="10" defaultColWidth="8.83203125" defaultRowHeight="15"/>
  <cols>
    <col min="1" max="1" width="10.33203125" customWidth="1"/>
    <col min="2" max="2" width="8.1640625" customWidth="1"/>
    <col min="3" max="3" width="13.5" customWidth="1"/>
    <col min="4" max="4" width="10.5" customWidth="1"/>
    <col min="5" max="5" width="13.33203125" customWidth="1"/>
    <col min="6" max="6" width="15.1640625" customWidth="1"/>
    <col min="7" max="7" width="12.83203125" customWidth="1"/>
    <col min="8" max="8" width="11.83203125" customWidth="1"/>
    <col min="9" max="9" width="26" customWidth="1"/>
  </cols>
  <sheetData>
    <row r="1" spans="1:11" ht="35.75" customHeight="1">
      <c r="A1" s="8" t="s">
        <v>24</v>
      </c>
      <c r="B1" s="8" t="s">
        <v>164</v>
      </c>
      <c r="C1" s="8" t="s">
        <v>166</v>
      </c>
      <c r="D1" s="8" t="s">
        <v>163</v>
      </c>
      <c r="E1" s="8" t="s">
        <v>340</v>
      </c>
      <c r="F1" s="8" t="s">
        <v>460</v>
      </c>
      <c r="G1" s="8" t="s">
        <v>461</v>
      </c>
      <c r="H1" s="8" t="s">
        <v>462</v>
      </c>
      <c r="I1" s="8" t="s">
        <v>861</v>
      </c>
      <c r="J1" s="1"/>
      <c r="K1" s="1"/>
    </row>
    <row r="2" spans="1:11" ht="22" customHeight="1">
      <c r="A2" s="9" t="s">
        <v>53</v>
      </c>
      <c r="B2" s="9" t="s">
        <v>174</v>
      </c>
      <c r="C2" s="9" t="s">
        <v>176</v>
      </c>
      <c r="D2" s="9" t="s">
        <v>180</v>
      </c>
      <c r="E2" s="9" t="s">
        <v>347</v>
      </c>
      <c r="F2" s="9" t="s">
        <v>385</v>
      </c>
      <c r="G2" s="9" t="s">
        <v>385</v>
      </c>
      <c r="H2" s="9" t="s">
        <v>414</v>
      </c>
      <c r="I2" s="41" t="s">
        <v>862</v>
      </c>
      <c r="J2" s="1"/>
      <c r="K2" s="1"/>
    </row>
    <row r="3" spans="1:11" ht="22" customHeight="1">
      <c r="A3" s="9" t="s">
        <v>58</v>
      </c>
      <c r="B3" s="9" t="s">
        <v>280</v>
      </c>
      <c r="C3" s="9" t="s">
        <v>413</v>
      </c>
      <c r="D3" s="9" t="s">
        <v>206</v>
      </c>
      <c r="E3" s="9" t="s">
        <v>351</v>
      </c>
      <c r="F3" s="9" t="s">
        <v>317</v>
      </c>
      <c r="G3" s="9" t="s">
        <v>68</v>
      </c>
      <c r="H3" s="9" t="s">
        <v>463</v>
      </c>
      <c r="I3" s="1"/>
      <c r="J3" s="1"/>
      <c r="K3" s="1"/>
    </row>
    <row r="4" spans="1:11" ht="22" customHeight="1">
      <c r="A4" s="9" t="s">
        <v>63</v>
      </c>
      <c r="B4" s="9" t="s">
        <v>464</v>
      </c>
      <c r="C4" s="9" t="s">
        <v>302</v>
      </c>
      <c r="D4" s="9" t="s">
        <v>221</v>
      </c>
      <c r="E4" s="9" t="s">
        <v>355</v>
      </c>
      <c r="F4" s="9" t="s">
        <v>68</v>
      </c>
      <c r="G4" s="9" t="s">
        <v>78</v>
      </c>
      <c r="H4" s="9" t="s">
        <v>465</v>
      </c>
      <c r="I4" s="1"/>
      <c r="J4" s="1"/>
      <c r="K4" s="1"/>
    </row>
    <row r="5" spans="1:11" ht="22" customHeight="1">
      <c r="A5" s="9" t="s">
        <v>68</v>
      </c>
      <c r="B5" s="9" t="s">
        <v>466</v>
      </c>
      <c r="C5" s="9" t="s">
        <v>467</v>
      </c>
      <c r="D5" s="9" t="s">
        <v>173</v>
      </c>
      <c r="E5" s="9" t="s">
        <v>378</v>
      </c>
      <c r="F5" s="9" t="s">
        <v>78</v>
      </c>
      <c r="G5" s="9" t="s">
        <v>81</v>
      </c>
      <c r="H5" s="9" t="s">
        <v>468</v>
      </c>
      <c r="I5" s="1"/>
      <c r="J5" s="1"/>
      <c r="K5" s="1"/>
    </row>
    <row r="6" spans="1:11" ht="22" customHeight="1">
      <c r="A6" s="9" t="s">
        <v>73</v>
      </c>
      <c r="B6" s="9"/>
      <c r="C6" s="9" t="s">
        <v>295</v>
      </c>
      <c r="D6" s="9"/>
      <c r="E6" s="9" t="s">
        <v>359</v>
      </c>
      <c r="F6" s="9" t="s">
        <v>469</v>
      </c>
      <c r="G6" s="9" t="s">
        <v>470</v>
      </c>
      <c r="H6" s="9" t="s">
        <v>471</v>
      </c>
      <c r="I6" s="1"/>
      <c r="J6" s="1"/>
      <c r="K6" s="1"/>
    </row>
    <row r="7" spans="1:11" ht="22" customHeight="1">
      <c r="A7" s="9" t="s">
        <v>78</v>
      </c>
      <c r="B7" s="9"/>
      <c r="C7" s="9"/>
      <c r="D7" s="9"/>
      <c r="E7" s="9" t="s">
        <v>472</v>
      </c>
      <c r="F7" s="9" t="s">
        <v>473</v>
      </c>
      <c r="G7" s="9" t="s">
        <v>474</v>
      </c>
      <c r="H7" s="9"/>
      <c r="I7" s="1"/>
      <c r="J7" s="1"/>
      <c r="K7" s="1"/>
    </row>
    <row r="8" spans="1:11" ht="22" customHeight="1">
      <c r="A8" s="9" t="s">
        <v>81</v>
      </c>
      <c r="B8" s="9"/>
      <c r="C8" s="9"/>
      <c r="D8" s="9"/>
      <c r="E8" s="9"/>
      <c r="F8" s="9"/>
      <c r="G8" s="9"/>
      <c r="H8" s="9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Usage Guide</vt:lpstr>
      <vt:lpstr>Dashboard</vt:lpstr>
      <vt:lpstr>Product Backlog</vt:lpstr>
      <vt:lpstr>Sprint Plan</vt:lpstr>
      <vt:lpstr>Sprint Board</vt:lpstr>
      <vt:lpstr>Release Checklist</vt:lpstr>
      <vt:lpstr>Risks</vt:lpstr>
      <vt:lpstr>Demo Scripts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Dương Quốc Hiếu</cp:lastModifiedBy>
  <dcterms:modified xsi:type="dcterms:W3CDTF">2026-05-23T06:35:24Z</dcterms:modified>
</cp:coreProperties>
</file>