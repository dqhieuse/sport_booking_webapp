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dmin/Documents/Personal/Personal Project/Sport Booking WebApp/outputs/"/>
    </mc:Choice>
  </mc:AlternateContent>
  <xr:revisionPtr revIDLastSave="0" documentId="13_ncr:1_{115543E0-21FB-D64D-9583-2932BAFB7D79}" xr6:coauthVersionLast="47" xr6:coauthVersionMax="47" xr10:uidLastSave="{00000000-0000-0000-0000-000000000000}"/>
  <bookViews>
    <workbookView xWindow="0" yWindow="660" windowWidth="29400" windowHeight="18460" activeTab="3" xr2:uid="{00000000-000D-0000-FFFF-FFFF00000000}"/>
  </bookViews>
  <sheets>
    <sheet name="Usage Guide" sheetId="8" r:id="rId1"/>
    <sheet name="Dashboard" sheetId="1" r:id="rId2"/>
    <sheet name="Product Backlog" sheetId="2" r:id="rId3"/>
    <sheet name="Sprint Plan" sheetId="3" r:id="rId4"/>
    <sheet name="Sprint Board" sheetId="4" r:id="rId5"/>
    <sheet name="Release Checklist" sheetId="5" r:id="rId6"/>
    <sheet name="Risks" sheetId="6" r:id="rId7"/>
    <sheet name="Demo Scripts" sheetId="7" r:id="rId8"/>
    <sheet name="Lookup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6" i="6"/>
  <c r="E5" i="6"/>
  <c r="E4" i="6"/>
  <c r="E3" i="6"/>
  <c r="E2" i="6"/>
  <c r="H12" i="1"/>
  <c r="G12" i="1"/>
  <c r="F12" i="1"/>
  <c r="E12" i="1"/>
  <c r="D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E9" i="1"/>
  <c r="D9" i="1"/>
  <c r="B9" i="1"/>
  <c r="H8" i="1"/>
  <c r="G8" i="1"/>
  <c r="F8" i="1"/>
  <c r="E8" i="1"/>
  <c r="D8" i="1"/>
  <c r="B8" i="1"/>
  <c r="H7" i="1"/>
  <c r="G7" i="1"/>
  <c r="F7" i="1"/>
  <c r="E7" i="1"/>
  <c r="D7" i="1"/>
  <c r="B7" i="1"/>
  <c r="H6" i="1"/>
  <c r="G6" i="1"/>
  <c r="F6" i="1"/>
  <c r="E6" i="1"/>
  <c r="D6" i="1"/>
  <c r="B6" i="1"/>
  <c r="H5" i="1"/>
  <c r="G5" i="1"/>
  <c r="F5" i="1"/>
  <c r="E5" i="1"/>
  <c r="D5" i="1"/>
  <c r="B5" i="1"/>
  <c r="H4" i="1"/>
  <c r="G4" i="1"/>
  <c r="F4" i="1"/>
  <c r="E4" i="1"/>
  <c r="D4" i="1"/>
  <c r="B4" i="1"/>
</calcChain>
</file>

<file path=xl/sharedStrings.xml><?xml version="1.0" encoding="utf-8"?>
<sst xmlns="http://schemas.openxmlformats.org/spreadsheetml/2006/main" count="801" uniqueCount="425">
  <si>
    <t>Sport Booking WebApp - Agile Project Dashboard</t>
  </si>
  <si>
    <t>Metric</t>
  </si>
  <si>
    <t>Value</t>
  </si>
  <si>
    <t>Sprint</t>
  </si>
  <si>
    <t>Goal</t>
  </si>
  <si>
    <t>Planned SP</t>
  </si>
  <si>
    <t>Status</t>
  </si>
  <si>
    <t>Demo</t>
  </si>
  <si>
    <t>Backlog Items</t>
  </si>
  <si>
    <t>Done Items</t>
  </si>
  <si>
    <t>In Progress Items</t>
  </si>
  <si>
    <t>Blocked Items</t>
  </si>
  <si>
    <t>Release Checklist Done</t>
  </si>
  <si>
    <t>Open Risks</t>
  </si>
  <si>
    <t>Release Milestone</t>
  </si>
  <si>
    <t>Included Through</t>
  </si>
  <si>
    <t>MVP Alpha</t>
  </si>
  <si>
    <t>Sprint 4 - public browsing, local auth, vendor setup, cash booking</t>
  </si>
  <si>
    <t>MVP Beta</t>
  </si>
  <si>
    <t>Sprint 6 - VNPAY sandbox, vendor booking, admin moderation</t>
  </si>
  <si>
    <t>MVP Production Demo</t>
  </si>
  <si>
    <t>Sprint 8 - deployment, demo data, README, smoke tests</t>
  </si>
  <si>
    <t>Current Focus</t>
  </si>
  <si>
    <t>Complete Sprint 0 before expanding scope</t>
  </si>
  <si>
    <t>Rule</t>
  </si>
  <si>
    <t>Working software over unfinished broad feature branches</t>
  </si>
  <si>
    <t>Next Review</t>
  </si>
  <si>
    <t>End of each sprint demo</t>
  </si>
  <si>
    <t>ID</t>
  </si>
  <si>
    <t>Epic</t>
  </si>
  <si>
    <t>User Story / Task</t>
  </si>
  <si>
    <t>Role</t>
  </si>
  <si>
    <t>Priority</t>
  </si>
  <si>
    <t>Target Sprint</t>
  </si>
  <si>
    <t>Owner</t>
  </si>
  <si>
    <t>Story Points</t>
  </si>
  <si>
    <t>Acceptance Criteria</t>
  </si>
  <si>
    <t>Notes</t>
  </si>
  <si>
    <t>PB-001</t>
  </si>
  <si>
    <t>Foundation</t>
  </si>
  <si>
    <t>Initialize Spring Boot backend project</t>
  </si>
  <si>
    <t>ADMIN</t>
  </si>
  <si>
    <t>Must</t>
  </si>
  <si>
    <t>Sprint 0</t>
  </si>
  <si>
    <t>Ready</t>
  </si>
  <si>
    <t>Developer</t>
  </si>
  <si>
    <t>Backend starts locally and exposes health check</t>
  </si>
  <si>
    <t>PB-002</t>
  </si>
  <si>
    <t>Initialize React frontend with Tailwind CSS</t>
  </si>
  <si>
    <t>Guest</t>
  </si>
  <si>
    <t>Frontend starts locally at Vite dev URL</t>
  </si>
  <si>
    <t>PB-003</t>
  </si>
  <si>
    <t>Configure PostgreSQL and migration tooling</t>
  </si>
  <si>
    <t>Migrations run successfully against PostgreSQL</t>
  </si>
  <si>
    <t>Prefer Flyway or Liquibase</t>
  </si>
  <si>
    <t>PB-004</t>
  </si>
  <si>
    <t>Create README and environment examples</t>
  </si>
  <si>
    <t>New developer can run project from README</t>
  </si>
  <si>
    <t>PB-005</t>
  </si>
  <si>
    <t>Public Browsing</t>
  </si>
  <si>
    <t>Create core entities and repositories</t>
  </si>
  <si>
    <t>Sprint 1</t>
  </si>
  <si>
    <t>Tables match docs 04 and app starts without JPA errors</t>
  </si>
  <si>
    <t>PB-006</t>
  </si>
  <si>
    <t>Seed roles, sports, time slots, vendor, venues, and courts</t>
  </si>
  <si>
    <t>Demo data appears after migration/seed</t>
  </si>
  <si>
    <t>PB-007</t>
  </si>
  <si>
    <t>Implement sports, venues, courts public APIs</t>
  </si>
  <si>
    <t>APIs match docs 05 and return DTOs</t>
  </si>
  <si>
    <t>PB-008</t>
  </si>
  <si>
    <t>Build public court browsing pages</t>
  </si>
  <si>
    <t>Guest can browse courts from real API data</t>
  </si>
  <si>
    <t>PB-009</t>
  </si>
  <si>
    <t>Auth</t>
  </si>
  <si>
    <t>Implement local registration and email verification</t>
  </si>
  <si>
    <t>USER</t>
  </si>
  <si>
    <t>Sprint 2</t>
  </si>
  <si>
    <t>Unverified local account cannot log in</t>
  </si>
  <si>
    <t>PB-010</t>
  </si>
  <si>
    <t>Implement login, JWT access token, refresh token rotation, logout</t>
  </si>
  <si>
    <t>Tokens work and old refresh token is revoked</t>
  </si>
  <si>
    <t>PB-011</t>
  </si>
  <si>
    <t>Build login/register/profile frontend</t>
  </si>
  <si>
    <t>User can complete auth flow in browser</t>
  </si>
  <si>
    <t>PB-012</t>
  </si>
  <si>
    <t>Implement avatar upload with shared storage service</t>
  </si>
  <si>
    <t>Avatar URL is saved to users.avatar_url</t>
  </si>
  <si>
    <t>PB-013</t>
  </si>
  <si>
    <t>Vendor Setup</t>
  </si>
  <si>
    <t>Implement vendor venue CRUD with ownership checks</t>
  </si>
  <si>
    <t>VENDOR</t>
  </si>
  <si>
    <t>Sprint 3</t>
  </si>
  <si>
    <t>Vendor can manage only own venues</t>
  </si>
  <si>
    <t>PB-014</t>
  </si>
  <si>
    <t>Implement vendor court CRUD with ownership checks</t>
  </si>
  <si>
    <t>Vendor can manage only courts under own venues</t>
  </si>
  <si>
    <t>PB-015</t>
  </si>
  <si>
    <t>Implement venue and court image APIs</t>
  </si>
  <si>
    <t>sortOrder and primary image rules are transactional</t>
  </si>
  <si>
    <t>PB-016</t>
  </si>
  <si>
    <t>Implement court time slot configuration APIs</t>
  </si>
  <si>
    <t>Vendor can enable/disable slots for own courts</t>
  </si>
  <si>
    <t>PB-017</t>
  </si>
  <si>
    <t>Build vendor venue/court/image/slot UI</t>
  </si>
  <si>
    <t>Vendor can prepare a bookable court from UI</t>
  </si>
  <si>
    <t>PB-018</t>
  </si>
  <si>
    <t>Booking</t>
  </si>
  <si>
    <t>Implement available slots by court and date</t>
  </si>
  <si>
    <t>Sprint 4</t>
  </si>
  <si>
    <t>Only active and unbooked court slots are returned</t>
  </si>
  <si>
    <t>PB-019</t>
  </si>
  <si>
    <t>Implement booking creation with duplicate protection</t>
  </si>
  <si>
    <t>Same court/date/slot cannot be double-booked</t>
  </si>
  <si>
    <t>PB-020</t>
  </si>
  <si>
    <t>Implement user booking history/detail/cancel APIs</t>
  </si>
  <si>
    <t>User can manage own bookings only</t>
  </si>
  <si>
    <t>PB-021</t>
  </si>
  <si>
    <t>Implement vendor booking management and cash payment marking</t>
  </si>
  <si>
    <t>Vendor can confirm/reject/cancel and mark cash paid</t>
  </si>
  <si>
    <t>PB-022</t>
  </si>
  <si>
    <t>Build booking UI and vendor booking UI</t>
  </si>
  <si>
    <t>Cash-at-court booking can be demonstrated end to end</t>
  </si>
  <si>
    <t>PB-023</t>
  </si>
  <si>
    <t>Payment</t>
  </si>
  <si>
    <t>Implement VNPAY sandbox payment URL generation</t>
  </si>
  <si>
    <t>Sprint 5</t>
  </si>
  <si>
    <t>Booking with VNPAY returns a payment URL</t>
  </si>
  <si>
    <t>PB-024</t>
  </si>
  <si>
    <t>Implement VNPAY return and IPN signature verification</t>
  </si>
  <si>
    <t>Invalid signature does not update payment</t>
  </si>
  <si>
    <t>PB-025</t>
  </si>
  <si>
    <t>Build payment redirect/result frontend</t>
  </si>
  <si>
    <t>User sees clear payment result</t>
  </si>
  <si>
    <t>PB-026</t>
  </si>
  <si>
    <t>Admin</t>
  </si>
  <si>
    <t>Implement admin sports management</t>
  </si>
  <si>
    <t>Sprint 6</t>
  </si>
  <si>
    <t>Admin can create/update/deactivate sports</t>
  </si>
  <si>
    <t>PB-027</t>
  </si>
  <si>
    <t>Implement admin users/vendors management</t>
  </si>
  <si>
    <t>Admin can manage user/vendor status and role</t>
  </si>
  <si>
    <t>PB-028</t>
  </si>
  <si>
    <t>Implement admin venue/court/booking moderation</t>
  </si>
  <si>
    <t>Admin can inspect and moderate platform data</t>
  </si>
  <si>
    <t>PB-029</t>
  </si>
  <si>
    <t>Build admin dashboard pages</t>
  </si>
  <si>
    <t>Admin flow can be demonstrated in UI</t>
  </si>
  <si>
    <t>PB-030</t>
  </si>
  <si>
    <t>Implement Google login</t>
  </si>
  <si>
    <t>Should</t>
  </si>
  <si>
    <t>Sprint 7</t>
  </si>
  <si>
    <t>Backlog</t>
  </si>
  <si>
    <t>Verified Google email can log in</t>
  </si>
  <si>
    <t>Clarify same-email local account behavior</t>
  </si>
  <si>
    <t>PB-031</t>
  </si>
  <si>
    <t>UX</t>
  </si>
  <si>
    <t>Improve responsive UI and empty/error states</t>
  </si>
  <si>
    <t>Main pages work on desktop and mobile</t>
  </si>
  <si>
    <t>PB-032</t>
  </si>
  <si>
    <t>Add court filters by sport, venue, date, and keyword</t>
  </si>
  <si>
    <t>Guest can narrow court list</t>
  </si>
  <si>
    <t>PB-033</t>
  </si>
  <si>
    <t>Release</t>
  </si>
  <si>
    <t>Prepare production config and deployment</t>
  </si>
  <si>
    <t>Sprint 8</t>
  </si>
  <si>
    <t>DevOps</t>
  </si>
  <si>
    <t>App deploys without localhost-only values</t>
  </si>
  <si>
    <t>PB-034</t>
  </si>
  <si>
    <t>Create production demo seed data and demo accounts</t>
  </si>
  <si>
    <t>Demo environment has realistic data</t>
  </si>
  <si>
    <t>PB-035</t>
  </si>
  <si>
    <t>Add focused automated tests for risky logic</t>
  </si>
  <si>
    <t>Tester</t>
  </si>
  <si>
    <t>Auth, booking, ownership, image, payment rules are covered</t>
  </si>
  <si>
    <t>PB-036</t>
  </si>
  <si>
    <t>Finalize README, API notes, and smoke test checklist</t>
  </si>
  <si>
    <t>Project is portfolio-ready</t>
  </si>
  <si>
    <t>Start Date</t>
  </si>
  <si>
    <t>End Date</t>
  </si>
  <si>
    <t>Main Scope</t>
  </si>
  <si>
    <t>Demo Scenario</t>
  </si>
  <si>
    <t>Project foundation and production skeleton</t>
  </si>
  <si>
    <t>Backend, frontend, PostgreSQL, migrations, health check, README</t>
  </si>
  <si>
    <t>Backend/frontend run locally and health check works</t>
  </si>
  <si>
    <t>Planned</t>
  </si>
  <si>
    <t>Database core and public browsing</t>
  </si>
  <si>
    <t>Entities, seed data, public sports/venues/courts APIs, public UI</t>
  </si>
  <si>
    <t>Guest browses courts from PostgreSQL data</t>
  </si>
  <si>
    <t>Local auth, JWT, refresh token, and profile</t>
  </si>
  <si>
    <t>Register, verify email, login, refresh, logout, profile, avatar</t>
  </si>
  <si>
    <t>User registers, verifies, logs in, and views profile</t>
  </si>
  <si>
    <t>Vendor setup</t>
  </si>
  <si>
    <t>Vendor venues, courts, images, court time slots</t>
  </si>
  <si>
    <t>Vendor prepares a bookable court</t>
  </si>
  <si>
    <t>Booking and cash payment MVP</t>
  </si>
  <si>
    <t>Available slots, booking, user history, vendor booking, cash payment</t>
  </si>
  <si>
    <t>User books by cash and vendor marks paid</t>
  </si>
  <si>
    <t>VNPAY sandbox payment</t>
  </si>
  <si>
    <t>VNPAY payment URL, return, IPN, payment result UI</t>
  </si>
  <si>
    <t>User pays through VNPAY sandbox</t>
  </si>
  <si>
    <t>Admin dashboard and moderation</t>
  </si>
  <si>
    <t>Sports, users/vendors, venues, courts, bookings admin UI</t>
  </si>
  <si>
    <t>Admin moderates platform data</t>
  </si>
  <si>
    <t>Google login and UX polish</t>
  </si>
  <si>
    <t>Google login, responsive UI, filters, dashboard statistics</t>
  </si>
  <si>
    <t>Google login and polished browsing flow</t>
  </si>
  <si>
    <t>Production hardening and release</t>
  </si>
  <si>
    <t>Prod config, seed demo data, tests, README, deployment</t>
  </si>
  <si>
    <t>Deployed production-like demo</t>
  </si>
  <si>
    <t>Task</t>
  </si>
  <si>
    <t>Type</t>
  </si>
  <si>
    <t>SP</t>
  </si>
  <si>
    <t>Blocker</t>
  </si>
  <si>
    <t>Next Action</t>
  </si>
  <si>
    <t>SB-001</t>
  </si>
  <si>
    <t>Create backend project and package structure</t>
  </si>
  <si>
    <t>Backend</t>
  </si>
  <si>
    <t>To Do</t>
  </si>
  <si>
    <t>Generate Spring Boot project</t>
  </si>
  <si>
    <t>SB-002</t>
  </si>
  <si>
    <t>Create frontend project with Tailwind CSS</t>
  </si>
  <si>
    <t>Frontend</t>
  </si>
  <si>
    <t>Create React app</t>
  </si>
  <si>
    <t>SB-003</t>
  </si>
  <si>
    <t>Configure PostgreSQL and migrations</t>
  </si>
  <si>
    <t>Database</t>
  </si>
  <si>
    <t>Choose Flyway or Liquibase</t>
  </si>
  <si>
    <t>SB-004</t>
  </si>
  <si>
    <t>Add README setup draft</t>
  </si>
  <si>
    <t>Docs</t>
  </si>
  <si>
    <t>Document local run commands</t>
  </si>
  <si>
    <t>SB-005</t>
  </si>
  <si>
    <t>Implement public sports APIs</t>
  </si>
  <si>
    <t>Start after migrations</t>
  </si>
  <si>
    <t>SB-006</t>
  </si>
  <si>
    <t>Implement venue and court list/detail APIs</t>
  </si>
  <si>
    <t>Use DTOs</t>
  </si>
  <si>
    <t>SB-007</t>
  </si>
  <si>
    <t>Build court list and detail pages</t>
  </si>
  <si>
    <t>Connect to Axios client</t>
  </si>
  <si>
    <t>SB-008</t>
  </si>
  <si>
    <t>Implement auth security config</t>
  </si>
  <si>
    <t>Define route permissions</t>
  </si>
  <si>
    <t>SB-009</t>
  </si>
  <si>
    <t>Implement token refresh flow in Axios</t>
  </si>
  <si>
    <t>Add interceptor</t>
  </si>
  <si>
    <t>SB-010</t>
  </si>
  <si>
    <t>Test duplicate booking protection</t>
  </si>
  <si>
    <t>Test</t>
  </si>
  <si>
    <t>Verify same court/date/slot conflict</t>
  </si>
  <si>
    <t>Area</t>
  </si>
  <si>
    <t>Checklist Item</t>
  </si>
  <si>
    <t>Evidence / Link</t>
  </si>
  <si>
    <t>Configuration</t>
  </si>
  <si>
    <t>All secrets are environment variables</t>
  </si>
  <si>
    <t>Not Started</t>
  </si>
  <si>
    <t>JWT, DB, Google, VNPAY, storage</t>
  </si>
  <si>
    <t>Migrations run from clean database</t>
  </si>
  <si>
    <t>No manual table creation</t>
  </si>
  <si>
    <t>Demo seed data exists</t>
  </si>
  <si>
    <t>Admin, vendor, user, sports, venues, courts</t>
  </si>
  <si>
    <t>Security</t>
  </si>
  <si>
    <t>Protected APIs reject missing/invalid token</t>
  </si>
  <si>
    <t>Role-based routes are enforced in backend</t>
  </si>
  <si>
    <t>Vendor ownership checks are verified</t>
  </si>
  <si>
    <t>Refresh token rotation works</t>
  </si>
  <si>
    <t>Duplicate booking is blocked</t>
  </si>
  <si>
    <t>VNPAY invalid signature is rejected</t>
  </si>
  <si>
    <t>Production build succeeds</t>
  </si>
  <si>
    <t>Frontend uses deployed backend URL</t>
  </si>
  <si>
    <t>README has local and production run instructions</t>
  </si>
  <si>
    <t>Smoke test script passes on deployed app</t>
  </si>
  <si>
    <t>Observability</t>
  </si>
  <si>
    <t>Backend logs are useful for demo debugging</t>
  </si>
  <si>
    <t>Risk</t>
  </si>
  <si>
    <t>Impact (1-5)</t>
  </si>
  <si>
    <t>Probability (1-5)</t>
  </si>
  <si>
    <t>Severity</t>
  </si>
  <si>
    <t>Mitigation</t>
  </si>
  <si>
    <t>Review Notes</t>
  </si>
  <si>
    <t>R-001</t>
  </si>
  <si>
    <t>Frontend is built too late, making demo weak</t>
  </si>
  <si>
    <t>Build UI together with each vertical slice</t>
  </si>
  <si>
    <t>Product Owner</t>
  </si>
  <si>
    <t>Open</t>
  </si>
  <si>
    <t>R-002</t>
  </si>
  <si>
    <t>VNPAY takes longer than expected</t>
  </si>
  <si>
    <t>Finish CASH_AT_COURT booking before VNPAY</t>
  </si>
  <si>
    <t>R-003</t>
  </si>
  <si>
    <t>Auth scope becomes too complex</t>
  </si>
  <si>
    <t>Finish local auth first, then Google login</t>
  </si>
  <si>
    <t>R-004</t>
  </si>
  <si>
    <t>Image storage complicates deployment</t>
  </si>
  <si>
    <t>Use storage abstraction and start simple</t>
  </si>
  <si>
    <t>R-005</t>
  </si>
  <si>
    <t>No migration strategy causes deployment issues</t>
  </si>
  <si>
    <t>Use Flyway or Liquibase from Sprint 0</t>
  </si>
  <si>
    <t>R-006</t>
  </si>
  <si>
    <t>Weak seed data makes demo look empty</t>
  </si>
  <si>
    <t>Prepare realistic demo venues, courts, slots, bookings</t>
  </si>
  <si>
    <t>R-007</t>
  </si>
  <si>
    <t>Missing ownership checks exposes vendor data</t>
  </si>
  <si>
    <t>Put checks in service layer and test them</t>
  </si>
  <si>
    <t>Flow</t>
  </si>
  <si>
    <t>Actor</t>
  </si>
  <si>
    <t>Steps</t>
  </si>
  <si>
    <t>Expected Result</t>
  </si>
  <si>
    <t>Public browsing</t>
  </si>
  <si>
    <t>Open app &gt; view sports &gt; open court list &gt; open court detail</t>
  </si>
  <si>
    <t>Guest sees real court data and primary images</t>
  </si>
  <si>
    <t>Local auth</t>
  </si>
  <si>
    <t>Register &gt; verify email &gt; login &gt; open profile &gt; logout</t>
  </si>
  <si>
    <t>User receives tokens and protected profile loads</t>
  </si>
  <si>
    <t>Vendor court setup</t>
  </si>
  <si>
    <t>Login as vendor &gt; create venue &gt; create court &gt; upload image &gt; enable slots</t>
  </si>
  <si>
    <t>Court becomes bookable</t>
  </si>
  <si>
    <t>Cash booking</t>
  </si>
  <si>
    <t>USER/VENDOR</t>
  </si>
  <si>
    <t>User books CASH_AT_COURT &gt; vendor confirms &gt; vendor marks cash paid</t>
  </si>
  <si>
    <t>Booking and payment statuses update correctly</t>
  </si>
  <si>
    <t>VNPAY payment</t>
  </si>
  <si>
    <t>User books with VNPAY &gt; completes sandbox payment &gt; returns to app</t>
  </si>
  <si>
    <t>Payment status becomes PAID</t>
  </si>
  <si>
    <t>Admin moderation</t>
  </si>
  <si>
    <t>Login as admin &gt; manage sport &gt; inspect users &gt; moderate court/booking</t>
  </si>
  <si>
    <t>Admin can manage platform data</t>
  </si>
  <si>
    <t>Production smoke test</t>
  </si>
  <si>
    <t>All</t>
  </si>
  <si>
    <t>Run core flow on deployed URL</t>
  </si>
  <si>
    <t>Demo environment works without localhost assumptions</t>
  </si>
  <si>
    <t>Sport Booking WebApp - Agile Tracker Usage Guide</t>
  </si>
  <si>
    <t>Step</t>
  </si>
  <si>
    <t>When</t>
  </si>
  <si>
    <t>Sheet</t>
  </si>
  <si>
    <t>What to Update</t>
  </si>
  <si>
    <t>How to Use</t>
  </si>
  <si>
    <t>Expected Output</t>
  </si>
  <si>
    <t>Before Sprint starts</t>
  </si>
  <si>
    <t>Product Backlog</t>
  </si>
  <si>
    <t>Priority, Target Sprint, Status, Owner, Story Points</t>
  </si>
  <si>
    <t>Move selected items to Ready or To Do. Keep unclear items in Backlog until docs/API behavior are clear.</t>
  </si>
  <si>
    <t>Sprint scope is realistic and ready.</t>
  </si>
  <si>
    <t>Sprint planning</t>
  </si>
  <si>
    <t>Sprint Plan</t>
  </si>
  <si>
    <t>Start Date, End Date, Status, Planned SP</t>
  </si>
  <si>
    <t>Confirm sprint goal, planned capacity, and demo scenario. Do not overload sprint beyond available time.</t>
  </si>
  <si>
    <t>Sprint has clear goal and measurable demo.</t>
  </si>
  <si>
    <t>Daily work</t>
  </si>
  <si>
    <t>Sprint Board</t>
  </si>
  <si>
    <t>Status, Blocker, Next Action</t>
  </si>
  <si>
    <t>Use this as the working board. Move tasks from To Do to In Progress, Review, Done, or Blocked.</t>
  </si>
  <si>
    <t>Current work status is visible.</t>
  </si>
  <si>
    <t>When a task is done</t>
  </si>
  <si>
    <t>Product Backlog + Sprint Board</t>
  </si>
  <si>
    <t>Mark task Done only after backend/UI/manual verification is completed according to Definition of Done.</t>
  </si>
  <si>
    <t>Dashboard KPIs update automatically.</t>
  </si>
  <si>
    <t>During development</t>
  </si>
  <si>
    <t>Risks</t>
  </si>
  <si>
    <t>Impact, Probability, Mitigation, Status, Review Notes</t>
  </si>
  <si>
    <t>Add risks early. Review high severity risks before sprint demo.</t>
  </si>
  <si>
    <t>Risks are tracked before they become blockers.</t>
  </si>
  <si>
    <t>Before demo</t>
  </si>
  <si>
    <t>Demo Scripts</t>
  </si>
  <si>
    <t>Run the relevant flow exactly as written. If a flow fails, mark Blocked and write the issue in notes/backlog.</t>
  </si>
  <si>
    <t>Demo result is clear and repeatable.</t>
  </si>
  <si>
    <t>Before deployment</t>
  </si>
  <si>
    <t>Release Checklist</t>
  </si>
  <si>
    <t>Status, Evidence / Link, Notes</t>
  </si>
  <si>
    <t>Complete Must items first. Evidence can be API collection, deployed URL, test result, or README section.</t>
  </si>
  <si>
    <t>Production demo is not dependent on local-only setup.</t>
  </si>
  <si>
    <t>End of sprint</t>
  </si>
  <si>
    <t>Dashboard</t>
  </si>
  <si>
    <t>Review only</t>
  </si>
  <si>
    <t>Check backlog counts, blocked items, release progress, open risks, and sprint status.</t>
  </si>
  <si>
    <t>Sprint review has facts, not guesses.</t>
  </si>
  <si>
    <t>Important Rules</t>
  </si>
  <si>
    <t>Details</t>
  </si>
  <si>
    <t>Common Status</t>
  </si>
  <si>
    <t>Meaning</t>
  </si>
  <si>
    <t>When to Use</t>
  </si>
  <si>
    <t>Do not mark Done too early</t>
  </si>
  <si>
    <t>Done means code runs, API/UI is verified, permissions are checked, and docs are updated if needed.</t>
  </si>
  <si>
    <t>Not ready or not selected yet</t>
  </si>
  <si>
    <t>Ideas, future scope, unclear items</t>
  </si>
  <si>
    <t>Keep status consistent</t>
  </si>
  <si>
    <t>If a backlog item is Done, related sprint board task should also be Done or have a clear reason why not.</t>
  </si>
  <si>
    <t>Clear enough to implement</t>
  </si>
  <si>
    <t>Docs/API/acceptance criteria are known</t>
  </si>
  <si>
    <t>Use production mindset</t>
  </si>
  <si>
    <t>Avoid localhost-only config, hard-coded secrets, or manual database changes that cannot be repeated.</t>
  </si>
  <si>
    <t>Selected for current sprint</t>
  </si>
  <si>
    <t>Sprint work not started</t>
  </si>
  <si>
    <t>Keep each sprint demoable</t>
  </si>
  <si>
    <t>Every sprint should end with a real flow that can be shown in browser or Postman.</t>
  </si>
  <si>
    <t>In Progress</t>
  </si>
  <si>
    <t>Being actively worked on</t>
  </si>
  <si>
    <t>Developer is implementing or testing</t>
  </si>
  <si>
    <t>Prefer small tasks</t>
  </si>
  <si>
    <t>If a task is larger than 13 story points, split it into backend, frontend, testing, or deployment tasks.</t>
  </si>
  <si>
    <t>Review</t>
  </si>
  <si>
    <t>Implemented but needs verification</t>
  </si>
  <si>
    <t>Waiting for test/review/demo check</t>
  </si>
  <si>
    <t>Update risks weekly</t>
  </si>
  <si>
    <t>High severity risks should have a mitigation owner and a next action.</t>
  </si>
  <si>
    <t>Done</t>
  </si>
  <si>
    <t>Meets Definition of Done</t>
  </si>
  <si>
    <t>Verified and usable</t>
  </si>
  <si>
    <t>Blocked</t>
  </si>
  <si>
    <t>Cannot continue without resolving issue</t>
  </si>
  <si>
    <t>Needs decision, dependency, or bug fix</t>
  </si>
  <si>
    <t>Sprint Status</t>
  </si>
  <si>
    <t>Release Status</t>
  </si>
  <si>
    <t>Risk Status</t>
  </si>
  <si>
    <t>Monitoring</t>
  </si>
  <si>
    <t>Could</t>
  </si>
  <si>
    <t>Mitigated</t>
  </si>
  <si>
    <t>Won't</t>
  </si>
  <si>
    <t>Designer</t>
  </si>
  <si>
    <t>Closed</t>
  </si>
  <si>
    <t>At Risk</t>
  </si>
  <si>
    <t>Deferred</t>
  </si>
  <si>
    <t>Accepted</t>
  </si>
  <si>
    <t>Deployment</t>
  </si>
  <si>
    <t>Moved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</si>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</sst>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sz val="10"/>
      <color rgb="FF1F2937"/>
      <name val="Calibri"/>
      <family val="2"/>
    </font>
    <font>
      <b/>
      <sz val="10"/>
      <color rgb="FF1F2937"/>
      <name val="Calibri"/>
      <family val="2"/>
    </font>
    <font>
      <b/>
      <sz val="10"/>
      <color theme="3" tint="0.8999908444471571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1F4E79"/>
        <bgColor indexed="64"/>
      </patternFill>
    </fill>
  </fills>
  <borders count="8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/>
      <top style="thin">
        <color rgb="FFD9E2EC"/>
      </top>
      <bottom/>
      <diagonal/>
    </border>
    <border>
      <left/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/>
      <top/>
      <bottom/>
      <diagonal/>
    </border>
    <border>
      <left/>
      <right style="thin">
        <color rgb="FFD9E2EC"/>
      </right>
      <top/>
      <bottom/>
      <diagonal/>
    </border>
    <border>
      <left style="thin">
        <color rgb="FFD9E2EC"/>
      </left>
      <right/>
      <top/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4" xfId="0" applyFont="1" applyFill="1" applyBorder="1" applyAlignment="1">
      <alignment vertical="top" wrapText="1"/>
    </xf>
    <xf numFmtId="0" fontId="1" fillId="4" borderId="5" xfId="0" applyFont="1" applyFill="1" applyBorder="1" applyAlignment="1">
      <alignment vertical="top" wrapText="1"/>
    </xf>
    <xf numFmtId="0" fontId="1" fillId="4" borderId="6" xfId="0" applyFont="1" applyFill="1" applyBorder="1" applyAlignment="1">
      <alignment vertical="top" wrapText="1"/>
    </xf>
    <xf numFmtId="0" fontId="1" fillId="4" borderId="7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0" fontId="1" fillId="5" borderId="3" xfId="0" applyFont="1" applyFill="1" applyBorder="1" applyAlignment="1">
      <alignment vertical="top" wrapText="1"/>
    </xf>
    <xf numFmtId="0" fontId="1" fillId="5" borderId="4" xfId="0" applyFont="1" applyFill="1" applyBorder="1" applyAlignment="1">
      <alignment vertical="top" wrapText="1"/>
    </xf>
    <xf numFmtId="0" fontId="1" fillId="5" borderId="5" xfId="0" applyFont="1" applyFill="1" applyBorder="1" applyAlignment="1">
      <alignment vertical="top" wrapText="1"/>
    </xf>
    <xf numFmtId="0" fontId="1" fillId="5" borderId="6" xfId="0" applyFont="1" applyFill="1" applyBorder="1" applyAlignment="1">
      <alignment vertical="top" wrapText="1"/>
    </xf>
    <xf numFmtId="0" fontId="1" fillId="5" borderId="7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1" fillId="0" borderId="0" xfId="0" applyNumberFormat="1" applyFont="1"/>
    <xf numFmtId="0" fontId="3" fillId="3" borderId="0" xfId="0" applyFont="1" applyFill="1" applyAlignment="1">
      <alignment horizontal="center" vertical="center"/>
    </xf>
    <xf numFmtId="0" fontId="0" fillId="6" borderId="0" xfId="0" applyFill="1"/>
    <xf numFmtId="14" fontId="1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Planned Story Points by Sprint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SP</c:v>
          </c:tx>
          <c:invertIfNegative val="1"/>
          <c:cat>
            <c:strLit>
              <c:ptCount val="9"/>
              <c:pt idx="0">
                <c:v>Sprint 0</c:v>
              </c:pt>
              <c:pt idx="1">
                <c:v>Sprint 1</c:v>
              </c:pt>
              <c:pt idx="2">
                <c:v>Sprint 2</c:v>
              </c:pt>
              <c:pt idx="3">
                <c:v>Sprint 3</c:v>
              </c:pt>
              <c:pt idx="4">
                <c:v>Sprint 4</c:v>
              </c:pt>
              <c:pt idx="5">
                <c:v>Sprint 5</c:v>
              </c:pt>
              <c:pt idx="6">
                <c:v>Sprint 6</c:v>
              </c:pt>
              <c:pt idx="7">
                <c:v>Sprint 7</c:v>
              </c:pt>
              <c:pt idx="8">
                <c:v>Sprint 8</c:v>
              </c:pt>
            </c:strLit>
          </c:cat>
          <c:val>
            <c:numLit>
              <c:formatCode>General</c:formatCode>
              <c:ptCount val="9"/>
              <c:pt idx="0">
                <c:v>13</c:v>
              </c:pt>
              <c:pt idx="1">
                <c:v>32</c:v>
              </c:pt>
              <c:pt idx="2">
                <c:v>37</c:v>
              </c:pt>
              <c:pt idx="3">
                <c:v>42</c:v>
              </c:pt>
              <c:pt idx="4">
                <c:v>47</c:v>
              </c:pt>
              <c:pt idx="5">
                <c:v>26</c:v>
              </c:pt>
              <c:pt idx="6">
                <c:v>34</c:v>
              </c:pt>
              <c:pt idx="7">
                <c:v>21</c:v>
              </c:pt>
              <c:pt idx="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0-6EC1-C448-8FDA-E0FCAB310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V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E5E7EB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13</xdr:row>
      <xdr:rowOff>0</xdr:rowOff>
    </xdr:from>
    <xdr:ext cx="5334000" cy="2857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zoomScale="120" zoomScaleNormal="120" workbookViewId="0">
      <selection activeCell="B21" sqref="B21"/>
    </sheetView>
  </sheetViews>
  <sheetFormatPr baseColWidth="10" defaultColWidth="8.83203125" defaultRowHeight="15"/>
  <cols>
    <col min="2" max="2" width="64.6640625" customWidth="1"/>
    <col min="3" max="3" width="75.5" customWidth="1"/>
    <col min="4" max="4" width="22.33203125" customWidth="1"/>
    <col min="5" max="5" width="38.33203125" customWidth="1"/>
    <col min="6" max="6" width="42.5" customWidth="1"/>
    <col min="7" max="7" width="40.1640625" customWidth="1"/>
  </cols>
  <sheetData>
    <row r="1" spans="1:12" ht="25.5" customHeight="1">
      <c r="A1" s="19"/>
      <c r="B1" s="18" t="s">
        <v>330</v>
      </c>
      <c r="C1" s="15"/>
      <c r="D1" s="15"/>
      <c r="E1" s="15"/>
      <c r="F1" s="15"/>
      <c r="G1" s="15"/>
      <c r="H1" s="1"/>
      <c r="I1" s="1"/>
      <c r="J1" s="1"/>
      <c r="K1" s="1"/>
      <c r="L1" s="1"/>
    </row>
    <row r="2" spans="1:12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>
      <c r="A3" s="16" t="s">
        <v>331</v>
      </c>
      <c r="B3" s="16" t="s">
        <v>332</v>
      </c>
      <c r="C3" s="16" t="s">
        <v>333</v>
      </c>
      <c r="D3" s="16" t="s">
        <v>334</v>
      </c>
      <c r="E3" s="16" t="s">
        <v>335</v>
      </c>
      <c r="F3" s="16" t="s">
        <v>336</v>
      </c>
      <c r="H3" s="1"/>
      <c r="I3" s="1"/>
      <c r="J3" s="1"/>
      <c r="K3" s="1"/>
      <c r="L3" s="1"/>
    </row>
    <row r="4" spans="1:12" ht="30">
      <c r="A4" s="2">
        <v>1</v>
      </c>
      <c r="B4" s="2" t="s">
        <v>337</v>
      </c>
      <c r="C4" s="2" t="s">
        <v>338</v>
      </c>
      <c r="D4" s="2" t="s">
        <v>339</v>
      </c>
      <c r="E4" s="2" t="s">
        <v>340</v>
      </c>
      <c r="F4" s="2" t="s">
        <v>341</v>
      </c>
      <c r="H4" s="1"/>
      <c r="I4" s="1"/>
      <c r="J4" s="1"/>
      <c r="K4" s="1"/>
      <c r="L4" s="1"/>
    </row>
    <row r="5" spans="1:12" ht="30">
      <c r="A5" s="2">
        <v>2</v>
      </c>
      <c r="B5" s="2" t="s">
        <v>342</v>
      </c>
      <c r="C5" s="2" t="s">
        <v>343</v>
      </c>
      <c r="D5" s="2" t="s">
        <v>344</v>
      </c>
      <c r="E5" s="2" t="s">
        <v>345</v>
      </c>
      <c r="F5" s="2" t="s">
        <v>346</v>
      </c>
      <c r="H5" s="1"/>
      <c r="I5" s="1"/>
      <c r="J5" s="1"/>
      <c r="K5" s="1"/>
      <c r="L5" s="1"/>
    </row>
    <row r="6" spans="1:12" ht="30">
      <c r="A6" s="2">
        <v>3</v>
      </c>
      <c r="B6" s="2" t="s">
        <v>347</v>
      </c>
      <c r="C6" s="2" t="s">
        <v>348</v>
      </c>
      <c r="D6" s="2" t="s">
        <v>349</v>
      </c>
      <c r="E6" s="2" t="s">
        <v>350</v>
      </c>
      <c r="F6" s="2" t="s">
        <v>351</v>
      </c>
      <c r="H6" s="1"/>
      <c r="I6" s="1"/>
      <c r="J6" s="1"/>
      <c r="K6" s="1"/>
      <c r="L6" s="1"/>
    </row>
    <row r="7" spans="1:12" ht="45">
      <c r="A7" s="2">
        <v>4</v>
      </c>
      <c r="B7" s="2" t="s">
        <v>352</v>
      </c>
      <c r="C7" s="2" t="s">
        <v>353</v>
      </c>
      <c r="D7" s="2" t="s">
        <v>6</v>
      </c>
      <c r="E7" s="2" t="s">
        <v>354</v>
      </c>
      <c r="F7" s="2" t="s">
        <v>355</v>
      </c>
      <c r="H7" s="1"/>
      <c r="I7" s="1"/>
      <c r="J7" s="1"/>
      <c r="K7" s="1"/>
      <c r="L7" s="1"/>
    </row>
    <row r="8" spans="1:12" ht="30">
      <c r="A8" s="2">
        <v>5</v>
      </c>
      <c r="B8" s="2" t="s">
        <v>356</v>
      </c>
      <c r="C8" s="2" t="s">
        <v>357</v>
      </c>
      <c r="D8" s="2" t="s">
        <v>358</v>
      </c>
      <c r="E8" s="2" t="s">
        <v>359</v>
      </c>
      <c r="F8" s="2" t="s">
        <v>360</v>
      </c>
      <c r="H8" s="1"/>
      <c r="I8" s="1"/>
      <c r="J8" s="1"/>
      <c r="K8" s="1"/>
      <c r="L8" s="1"/>
    </row>
    <row r="9" spans="1:12" ht="30">
      <c r="A9" s="2">
        <v>6</v>
      </c>
      <c r="B9" s="2" t="s">
        <v>361</v>
      </c>
      <c r="C9" s="2" t="s">
        <v>362</v>
      </c>
      <c r="D9" s="2" t="s">
        <v>6</v>
      </c>
      <c r="E9" s="2" t="s">
        <v>363</v>
      </c>
      <c r="F9" s="2" t="s">
        <v>364</v>
      </c>
      <c r="H9" s="1"/>
      <c r="I9" s="1"/>
      <c r="J9" s="1"/>
      <c r="K9" s="1"/>
      <c r="L9" s="1"/>
    </row>
    <row r="10" spans="1:12" ht="45">
      <c r="A10" s="2">
        <v>7</v>
      </c>
      <c r="B10" s="2" t="s">
        <v>365</v>
      </c>
      <c r="C10" s="2" t="s">
        <v>366</v>
      </c>
      <c r="D10" s="2" t="s">
        <v>367</v>
      </c>
      <c r="E10" s="2" t="s">
        <v>368</v>
      </c>
      <c r="F10" s="2" t="s">
        <v>369</v>
      </c>
      <c r="H10" s="1"/>
      <c r="I10" s="1"/>
      <c r="J10" s="1"/>
      <c r="K10" s="1"/>
      <c r="L10" s="1"/>
    </row>
    <row r="11" spans="1:12" ht="30">
      <c r="A11" s="2">
        <v>8</v>
      </c>
      <c r="B11" s="2" t="s">
        <v>370</v>
      </c>
      <c r="C11" s="2" t="s">
        <v>371</v>
      </c>
      <c r="D11" s="2" t="s">
        <v>372</v>
      </c>
      <c r="E11" s="2" t="s">
        <v>373</v>
      </c>
      <c r="F11" s="2" t="s">
        <v>374</v>
      </c>
      <c r="H11" s="1"/>
      <c r="I11" s="1"/>
      <c r="J11" s="1"/>
      <c r="K11" s="1"/>
      <c r="L11" s="1"/>
    </row>
    <row r="12" spans="1:12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20" customHeight="1">
      <c r="B13" s="16" t="s">
        <v>375</v>
      </c>
      <c r="C13" s="16" t="s">
        <v>376</v>
      </c>
      <c r="D13" s="1"/>
      <c r="E13" s="16" t="s">
        <v>377</v>
      </c>
      <c r="F13" s="16" t="s">
        <v>378</v>
      </c>
      <c r="G13" s="16" t="s">
        <v>379</v>
      </c>
      <c r="H13" s="1"/>
      <c r="I13" s="1"/>
      <c r="J13" s="1"/>
      <c r="K13" s="1"/>
      <c r="L13" s="1"/>
    </row>
    <row r="14" spans="1:12" ht="20" customHeight="1">
      <c r="B14" s="3" t="s">
        <v>380</v>
      </c>
      <c r="C14" s="4" t="s">
        <v>381</v>
      </c>
      <c r="D14" s="1"/>
      <c r="E14" s="2" t="s">
        <v>151</v>
      </c>
      <c r="F14" s="2" t="s">
        <v>382</v>
      </c>
      <c r="G14" s="2" t="s">
        <v>383</v>
      </c>
      <c r="H14" s="1"/>
      <c r="I14" s="1"/>
      <c r="J14" s="1"/>
      <c r="K14" s="1"/>
      <c r="L14" s="1"/>
    </row>
    <row r="15" spans="1:12" ht="20" customHeight="1">
      <c r="B15" s="5" t="s">
        <v>384</v>
      </c>
      <c r="C15" s="6" t="s">
        <v>385</v>
      </c>
      <c r="D15" s="1"/>
      <c r="E15" s="2" t="s">
        <v>44</v>
      </c>
      <c r="F15" s="2" t="s">
        <v>386</v>
      </c>
      <c r="G15" s="2" t="s">
        <v>387</v>
      </c>
      <c r="H15" s="1"/>
      <c r="I15" s="1"/>
      <c r="J15" s="1"/>
      <c r="K15" s="1"/>
      <c r="L15" s="1"/>
    </row>
    <row r="16" spans="1:12" ht="20" customHeight="1">
      <c r="B16" s="5" t="s">
        <v>388</v>
      </c>
      <c r="C16" s="6" t="s">
        <v>389</v>
      </c>
      <c r="D16" s="1"/>
      <c r="E16" s="2" t="s">
        <v>217</v>
      </c>
      <c r="F16" s="2" t="s">
        <v>390</v>
      </c>
      <c r="G16" s="2" t="s">
        <v>391</v>
      </c>
      <c r="H16" s="1"/>
      <c r="I16" s="1"/>
      <c r="J16" s="1"/>
      <c r="K16" s="1"/>
      <c r="L16" s="1"/>
    </row>
    <row r="17" spans="2:12" ht="20" customHeight="1">
      <c r="B17" s="5" t="s">
        <v>392</v>
      </c>
      <c r="C17" s="6" t="s">
        <v>393</v>
      </c>
      <c r="D17" s="1"/>
      <c r="E17" s="2" t="s">
        <v>394</v>
      </c>
      <c r="F17" s="2" t="s">
        <v>395</v>
      </c>
      <c r="G17" s="2" t="s">
        <v>396</v>
      </c>
      <c r="H17" s="1"/>
      <c r="I17" s="1"/>
      <c r="J17" s="1"/>
      <c r="K17" s="1"/>
      <c r="L17" s="1"/>
    </row>
    <row r="18" spans="2:12" ht="20" customHeight="1">
      <c r="B18" s="5" t="s">
        <v>397</v>
      </c>
      <c r="C18" s="6" t="s">
        <v>398</v>
      </c>
      <c r="D18" s="1"/>
      <c r="E18" s="2" t="s">
        <v>399</v>
      </c>
      <c r="F18" s="2" t="s">
        <v>400</v>
      </c>
      <c r="G18" s="2" t="s">
        <v>401</v>
      </c>
      <c r="H18" s="1"/>
      <c r="I18" s="1"/>
      <c r="J18" s="1"/>
      <c r="K18" s="1"/>
      <c r="L18" s="1"/>
    </row>
    <row r="19" spans="2:12" ht="20" customHeight="1">
      <c r="B19" s="7" t="s">
        <v>402</v>
      </c>
      <c r="C19" s="8" t="s">
        <v>403</v>
      </c>
      <c r="D19" s="1"/>
      <c r="E19" s="2" t="s">
        <v>404</v>
      </c>
      <c r="F19" s="2" t="s">
        <v>405</v>
      </c>
      <c r="G19" s="2" t="s">
        <v>406</v>
      </c>
      <c r="H19" s="1"/>
      <c r="I19" s="1"/>
      <c r="J19" s="1"/>
      <c r="K19" s="1"/>
      <c r="L19" s="1"/>
    </row>
    <row r="20" spans="2:12" ht="20" customHeight="1">
      <c r="B20" s="1"/>
      <c r="C20" s="1"/>
      <c r="D20" s="1"/>
      <c r="E20" s="2" t="s">
        <v>407</v>
      </c>
      <c r="F20" s="2" t="s">
        <v>408</v>
      </c>
      <c r="G20" s="2" t="s">
        <v>409</v>
      </c>
      <c r="H20" s="1"/>
      <c r="I20" s="1"/>
      <c r="J20" s="1"/>
      <c r="K20" s="1"/>
      <c r="L20" s="1"/>
    </row>
    <row r="21" spans="2:12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2:12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2:12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2:12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2:12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2:12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2:12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2:12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2:12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2:12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2:12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2:1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2:12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2:12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2:12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2:12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2:12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2:12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2:12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2:12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2:12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2:12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2:12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2:12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2:12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2:12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2:12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2:12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2:12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2:12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2:12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2:12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2:12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2:12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2:12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2:12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2:12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2:12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2:12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2:12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2:12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2:12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2:12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2:12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2:12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2:12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2:12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2:12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2:12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2:12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2:12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2:12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2:12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2:12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2:12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2:12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2:12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2:12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2:12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2:12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2:12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2:12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2:12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2:12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2:12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2:12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2:12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2:12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2:12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2:12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2:12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2:12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2:12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2:12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2:12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2:12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2:12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2:12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2:12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2:12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2:12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2:12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2:12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2:12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2:12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2:12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2:12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2:12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2:12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2:12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2:12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2:12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2:12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2:12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2:12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2:12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2:12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2:12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2:12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2:12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2:12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2:12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2:12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2:12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2:12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2:12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2:12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2:12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2:12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2:12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2:12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2:12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2:12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2:12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2:12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2:12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2:12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2:12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2:12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2:12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2:12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2:12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2:12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2:12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2:12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2:12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2:12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2:12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2:12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2:12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2:12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2:12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2:12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2:12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2:12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2:12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2:12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2:12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2:12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2:12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2:12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2:12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2:12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2:12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2:12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2:12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2:12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2:12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2:12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2:12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2:12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2:12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2:12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2:12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2:12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2:12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2:12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2:12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2:12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2:12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2:12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2:12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2:12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2:12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2:12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2:12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2:12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2:12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2:12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2:12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2:12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2:12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2:12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2:12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2:12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2:12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2:12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2:12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zoomScale="120" zoomScaleNormal="120" workbookViewId="0">
      <selection activeCell="B21" sqref="B21"/>
    </sheetView>
  </sheetViews>
  <sheetFormatPr baseColWidth="10" defaultColWidth="8.83203125" defaultRowHeight="15"/>
  <cols>
    <col min="1" max="1" width="61.83203125" customWidth="1"/>
    <col min="2" max="2" width="48.1640625" customWidth="1"/>
    <col min="4" max="4" width="7.6640625" customWidth="1"/>
    <col min="5" max="5" width="31.5" customWidth="1"/>
    <col min="6" max="6" width="9.83203125" customWidth="1"/>
    <col min="7" max="7" width="5.83203125" customWidth="1"/>
    <col min="8" max="8" width="38.83203125" customWidth="1"/>
  </cols>
  <sheetData>
    <row r="1" spans="1:11" ht="25.5" customHeight="1">
      <c r="A1" s="15" t="s">
        <v>0</v>
      </c>
      <c r="B1" s="15"/>
      <c r="C1" s="15"/>
      <c r="D1" s="15"/>
      <c r="E1" s="15"/>
      <c r="F1" s="15"/>
      <c r="G1" s="15"/>
      <c r="H1" s="15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" customHeight="1">
      <c r="A3" s="16" t="s">
        <v>1</v>
      </c>
      <c r="B3" s="16" t="s">
        <v>2</v>
      </c>
      <c r="C3" s="1"/>
      <c r="D3" s="16" t="s">
        <v>3</v>
      </c>
      <c r="E3" s="16" t="s">
        <v>4</v>
      </c>
      <c r="F3" s="16" t="s">
        <v>5</v>
      </c>
      <c r="G3" s="16" t="s">
        <v>6</v>
      </c>
      <c r="H3" s="16" t="s">
        <v>7</v>
      </c>
      <c r="I3" s="1"/>
      <c r="J3" s="1"/>
      <c r="K3" s="1"/>
    </row>
    <row r="4" spans="1:11" ht="20" customHeight="1">
      <c r="A4" s="9" t="s">
        <v>8</v>
      </c>
      <c r="B4" s="10">
        <f>COUNTA('Product Backlog'!A2:A200)</f>
        <v>36</v>
      </c>
      <c r="C4" s="1"/>
      <c r="D4" s="2" t="str">
        <f>'Sprint Plan'!A2</f>
        <v>Sprint 0</v>
      </c>
      <c r="E4" s="2" t="str">
        <f>'Sprint Plan'!B2</f>
        <v>Project foundation and production skeleton</v>
      </c>
      <c r="F4" s="2">
        <f>'Sprint Plan'!G2</f>
        <v>13</v>
      </c>
      <c r="G4" s="2" t="str">
        <f>'Sprint Plan'!H2</f>
        <v>Planned</v>
      </c>
      <c r="H4" s="2" t="str">
        <f>'Sprint Plan'!F2</f>
        <v>Backend/frontend run locally and health check works</v>
      </c>
      <c r="I4" s="1"/>
      <c r="J4" s="1"/>
      <c r="K4" s="1"/>
    </row>
    <row r="5" spans="1:11" ht="20" customHeight="1">
      <c r="A5" s="11" t="s">
        <v>9</v>
      </c>
      <c r="B5" s="12">
        <f>COUNTIF('Product Backlog'!G2:G200,"Done")</f>
        <v>0</v>
      </c>
      <c r="C5" s="1"/>
      <c r="D5" s="2" t="str">
        <f>'Sprint Plan'!A3</f>
        <v>Sprint 1</v>
      </c>
      <c r="E5" s="2" t="str">
        <f>'Sprint Plan'!B3</f>
        <v>Database core and public browsing</v>
      </c>
      <c r="F5" s="2">
        <f>'Sprint Plan'!G3</f>
        <v>32</v>
      </c>
      <c r="G5" s="2" t="str">
        <f>'Sprint Plan'!H3</f>
        <v>Planned</v>
      </c>
      <c r="H5" s="2" t="str">
        <f>'Sprint Plan'!F3</f>
        <v>Guest browses courts from PostgreSQL data</v>
      </c>
      <c r="I5" s="1"/>
      <c r="J5" s="1"/>
      <c r="K5" s="1"/>
    </row>
    <row r="6" spans="1:11" ht="20" customHeight="1">
      <c r="A6" s="11" t="s">
        <v>10</v>
      </c>
      <c r="B6" s="12">
        <f>COUNTIF('Product Backlog'!G2:G200,"In Progress")</f>
        <v>0</v>
      </c>
      <c r="C6" s="1"/>
      <c r="D6" s="2" t="str">
        <f>'Sprint Plan'!A4</f>
        <v>Sprint 2</v>
      </c>
      <c r="E6" s="2" t="str">
        <f>'Sprint Plan'!B4</f>
        <v>Local auth, JWT, refresh token, and profile</v>
      </c>
      <c r="F6" s="2">
        <f>'Sprint Plan'!G4</f>
        <v>37</v>
      </c>
      <c r="G6" s="2" t="str">
        <f>'Sprint Plan'!H4</f>
        <v>Planned</v>
      </c>
      <c r="H6" s="2" t="str">
        <f>'Sprint Plan'!F4</f>
        <v>User registers, verifies, logs in, and views profile</v>
      </c>
      <c r="I6" s="1"/>
      <c r="J6" s="1"/>
      <c r="K6" s="1"/>
    </row>
    <row r="7" spans="1:11" ht="20" customHeight="1">
      <c r="A7" s="11" t="s">
        <v>11</v>
      </c>
      <c r="B7" s="12">
        <f>COUNTIF('Product Backlog'!G2:G200,"Blocked")</f>
        <v>0</v>
      </c>
      <c r="C7" s="1"/>
      <c r="D7" s="2" t="str">
        <f>'Sprint Plan'!A5</f>
        <v>Sprint 3</v>
      </c>
      <c r="E7" s="2" t="str">
        <f>'Sprint Plan'!B5</f>
        <v>Vendor setup</v>
      </c>
      <c r="F7" s="2">
        <f>'Sprint Plan'!G5</f>
        <v>42</v>
      </c>
      <c r="G7" s="2" t="str">
        <f>'Sprint Plan'!H5</f>
        <v>Planned</v>
      </c>
      <c r="H7" s="2" t="str">
        <f>'Sprint Plan'!F5</f>
        <v>Vendor prepares a bookable court</v>
      </c>
      <c r="I7" s="1"/>
      <c r="J7" s="1"/>
      <c r="K7" s="1"/>
    </row>
    <row r="8" spans="1:11" ht="20" customHeight="1">
      <c r="A8" s="11" t="s">
        <v>12</v>
      </c>
      <c r="B8" s="12" t="str">
        <f>COUNTIF('Release Checklist'!D2:D100,"Done")&amp;"/"&amp;COUNTA('Release Checklist'!A2:A100)</f>
        <v>0/14</v>
      </c>
      <c r="C8" s="1"/>
      <c r="D8" s="2" t="str">
        <f>'Sprint Plan'!A6</f>
        <v>Sprint 4</v>
      </c>
      <c r="E8" s="2" t="str">
        <f>'Sprint Plan'!B6</f>
        <v>Booking and cash payment MVP</v>
      </c>
      <c r="F8" s="2">
        <f>'Sprint Plan'!G6</f>
        <v>47</v>
      </c>
      <c r="G8" s="2" t="str">
        <f>'Sprint Plan'!H6</f>
        <v>Planned</v>
      </c>
      <c r="H8" s="2" t="str">
        <f>'Sprint Plan'!F6</f>
        <v>User books by cash and vendor marks paid</v>
      </c>
      <c r="I8" s="1"/>
      <c r="J8" s="1"/>
      <c r="K8" s="1"/>
    </row>
    <row r="9" spans="1:11" ht="20" customHeight="1">
      <c r="A9" s="13" t="s">
        <v>13</v>
      </c>
      <c r="B9" s="14">
        <f>COUNTIF(Risks!H2:H100,"Open")</f>
        <v>7</v>
      </c>
      <c r="C9" s="1"/>
      <c r="D9" s="2" t="str">
        <f>'Sprint Plan'!A7</f>
        <v>Sprint 5</v>
      </c>
      <c r="E9" s="2" t="str">
        <f>'Sprint Plan'!B7</f>
        <v>VNPAY sandbox payment</v>
      </c>
      <c r="F9" s="2">
        <f>'Sprint Plan'!G7</f>
        <v>26</v>
      </c>
      <c r="G9" s="2" t="str">
        <f>'Sprint Plan'!H7</f>
        <v>Planned</v>
      </c>
      <c r="H9" s="2" t="str">
        <f>'Sprint Plan'!F7</f>
        <v>User pays through VNPAY sandbox</v>
      </c>
      <c r="I9" s="1"/>
      <c r="J9" s="1"/>
      <c r="K9" s="1"/>
    </row>
    <row r="10" spans="1:11" ht="20" customHeight="1">
      <c r="A10" s="1"/>
      <c r="B10" s="1"/>
      <c r="C10" s="1"/>
      <c r="D10" s="2" t="str">
        <f>'Sprint Plan'!A8</f>
        <v>Sprint 6</v>
      </c>
      <c r="E10" s="2" t="str">
        <f>'Sprint Plan'!B8</f>
        <v>Admin dashboard and moderation</v>
      </c>
      <c r="F10" s="2">
        <f>'Sprint Plan'!G8</f>
        <v>34</v>
      </c>
      <c r="G10" s="2" t="str">
        <f>'Sprint Plan'!H8</f>
        <v>Planned</v>
      </c>
      <c r="H10" s="2" t="str">
        <f>'Sprint Plan'!F8</f>
        <v>Admin moderates platform data</v>
      </c>
      <c r="I10" s="1"/>
      <c r="J10" s="1"/>
      <c r="K10" s="1"/>
    </row>
    <row r="11" spans="1:11" ht="20" customHeight="1">
      <c r="A11" s="1"/>
      <c r="B11" s="1"/>
      <c r="C11" s="1"/>
      <c r="D11" s="2" t="str">
        <f>'Sprint Plan'!A9</f>
        <v>Sprint 7</v>
      </c>
      <c r="E11" s="2" t="str">
        <f>'Sprint Plan'!B9</f>
        <v>Google login and UX polish</v>
      </c>
      <c r="F11" s="2">
        <f>'Sprint Plan'!G9</f>
        <v>21</v>
      </c>
      <c r="G11" s="2" t="str">
        <f>'Sprint Plan'!H9</f>
        <v>Planned</v>
      </c>
      <c r="H11" s="2" t="str">
        <f>'Sprint Plan'!F9</f>
        <v>Google login and polished browsing flow</v>
      </c>
      <c r="I11" s="1"/>
      <c r="J11" s="1"/>
      <c r="K11" s="1"/>
    </row>
    <row r="12" spans="1:11" ht="20" customHeight="1">
      <c r="A12" s="16" t="s">
        <v>14</v>
      </c>
      <c r="B12" s="16" t="s">
        <v>15</v>
      </c>
      <c r="C12" s="1"/>
      <c r="D12" s="2" t="str">
        <f>'Sprint Plan'!A10</f>
        <v>Sprint 8</v>
      </c>
      <c r="E12" s="2" t="str">
        <f>'Sprint Plan'!B10</f>
        <v>Production hardening and release</v>
      </c>
      <c r="F12" s="2">
        <f>'Sprint Plan'!G10</f>
        <v>31</v>
      </c>
      <c r="G12" s="2" t="str">
        <f>'Sprint Plan'!H10</f>
        <v>Planned</v>
      </c>
      <c r="H12" s="2" t="str">
        <f>'Sprint Plan'!F10</f>
        <v>Deployed production-like demo</v>
      </c>
      <c r="I12" s="1"/>
      <c r="J12" s="1"/>
      <c r="K12" s="1"/>
    </row>
    <row r="13" spans="1:11" ht="20" customHeight="1">
      <c r="A13" s="3" t="s">
        <v>16</v>
      </c>
      <c r="B13" s="4" t="s">
        <v>17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ht="20" customHeight="1">
      <c r="A14" s="5" t="s">
        <v>18</v>
      </c>
      <c r="B14" s="6" t="s">
        <v>19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 ht="20" customHeight="1">
      <c r="A15" s="5" t="s">
        <v>20</v>
      </c>
      <c r="B15" s="6" t="s">
        <v>21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 ht="20" customHeight="1">
      <c r="A16" s="5" t="s">
        <v>22</v>
      </c>
      <c r="B16" s="6" t="s">
        <v>23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 ht="20" customHeight="1">
      <c r="A17" s="5" t="s">
        <v>24</v>
      </c>
      <c r="B17" s="6" t="s">
        <v>25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 ht="20" customHeight="1">
      <c r="A18" s="7" t="s">
        <v>26</v>
      </c>
      <c r="B18" s="8" t="s">
        <v>27</v>
      </c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5" zoomScale="120" zoomScaleNormal="120" workbookViewId="0">
      <selection activeCell="G6" sqref="G6"/>
    </sheetView>
  </sheetViews>
  <sheetFormatPr baseColWidth="10" defaultColWidth="8.83203125" defaultRowHeight="15"/>
  <cols>
    <col min="1" max="1" width="5.5" customWidth="1"/>
    <col min="2" max="2" width="11.83203125" customWidth="1"/>
    <col min="3" max="3" width="50" customWidth="1"/>
    <col min="4" max="4" width="6.6640625" customWidth="1"/>
    <col min="5" max="5" width="9" customWidth="1"/>
    <col min="6" max="6" width="16" customWidth="1"/>
    <col min="7" max="7" width="8" customWidth="1"/>
    <col min="8" max="8" width="9.33203125" customWidth="1"/>
    <col min="9" max="9" width="15.1640625" customWidth="1"/>
    <col min="10" max="10" width="44.33203125" customWidth="1"/>
    <col min="11" max="11" width="30.5" customWidth="1"/>
  </cols>
  <sheetData>
    <row r="1" spans="1:11" ht="25.5" customHeight="1">
      <c r="A1" s="15" t="s">
        <v>28</v>
      </c>
      <c r="B1" s="15" t="s">
        <v>29</v>
      </c>
      <c r="C1" s="15" t="s">
        <v>30</v>
      </c>
      <c r="D1" s="15" t="s">
        <v>31</v>
      </c>
      <c r="E1" s="15" t="s">
        <v>32</v>
      </c>
      <c r="F1" s="15" t="s">
        <v>33</v>
      </c>
      <c r="G1" s="15" t="s">
        <v>6</v>
      </c>
      <c r="H1" s="15" t="s">
        <v>34</v>
      </c>
      <c r="I1" s="15" t="s">
        <v>35</v>
      </c>
      <c r="J1" s="15" t="s">
        <v>36</v>
      </c>
      <c r="K1" s="15" t="s">
        <v>37</v>
      </c>
    </row>
    <row r="2" spans="1:11" ht="20" customHeight="1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>
        <v>3</v>
      </c>
      <c r="J2" s="2" t="s">
        <v>46</v>
      </c>
      <c r="K2" s="2"/>
    </row>
    <row r="3" spans="1:11" ht="20" customHeight="1">
      <c r="A3" s="2" t="s">
        <v>47</v>
      </c>
      <c r="B3" s="2" t="s">
        <v>39</v>
      </c>
      <c r="C3" s="2" t="s">
        <v>48</v>
      </c>
      <c r="D3" s="2" t="s">
        <v>49</v>
      </c>
      <c r="E3" s="2" t="s">
        <v>42</v>
      </c>
      <c r="F3" s="2" t="s">
        <v>43</v>
      </c>
      <c r="G3" s="2" t="s">
        <v>44</v>
      </c>
      <c r="H3" s="2" t="s">
        <v>45</v>
      </c>
      <c r="I3" s="2">
        <v>3</v>
      </c>
      <c r="J3" s="2" t="s">
        <v>50</v>
      </c>
      <c r="K3" s="2"/>
    </row>
    <row r="4" spans="1:11" ht="20" customHeight="1">
      <c r="A4" s="2" t="s">
        <v>51</v>
      </c>
      <c r="B4" s="2" t="s">
        <v>39</v>
      </c>
      <c r="C4" s="2" t="s">
        <v>52</v>
      </c>
      <c r="D4" s="2" t="s">
        <v>41</v>
      </c>
      <c r="E4" s="2" t="s">
        <v>42</v>
      </c>
      <c r="F4" s="2" t="s">
        <v>43</v>
      </c>
      <c r="G4" s="2" t="s">
        <v>44</v>
      </c>
      <c r="H4" s="2" t="s">
        <v>45</v>
      </c>
      <c r="I4" s="2">
        <v>5</v>
      </c>
      <c r="J4" s="2" t="s">
        <v>53</v>
      </c>
      <c r="K4" s="2" t="s">
        <v>54</v>
      </c>
    </row>
    <row r="5" spans="1:11" ht="20" customHeight="1">
      <c r="A5" s="2" t="s">
        <v>55</v>
      </c>
      <c r="B5" s="2" t="s">
        <v>39</v>
      </c>
      <c r="C5" s="2" t="s">
        <v>56</v>
      </c>
      <c r="D5" s="2" t="s">
        <v>41</v>
      </c>
      <c r="E5" s="2" t="s">
        <v>42</v>
      </c>
      <c r="F5" s="2" t="s">
        <v>43</v>
      </c>
      <c r="G5" s="2" t="s">
        <v>44</v>
      </c>
      <c r="H5" s="2" t="s">
        <v>45</v>
      </c>
      <c r="I5" s="2">
        <v>2</v>
      </c>
      <c r="J5" s="2" t="s">
        <v>57</v>
      </c>
      <c r="K5" s="2"/>
    </row>
    <row r="6" spans="1:11" ht="20" customHeight="1">
      <c r="A6" s="2" t="s">
        <v>58</v>
      </c>
      <c r="B6" s="2" t="s">
        <v>59</v>
      </c>
      <c r="C6" s="2" t="s">
        <v>60</v>
      </c>
      <c r="D6" s="2" t="s">
        <v>49</v>
      </c>
      <c r="E6" s="2" t="s">
        <v>42</v>
      </c>
      <c r="F6" s="2" t="s">
        <v>61</v>
      </c>
      <c r="G6" s="2" t="s">
        <v>44</v>
      </c>
      <c r="H6" s="2" t="s">
        <v>45</v>
      </c>
      <c r="I6" s="2">
        <v>8</v>
      </c>
      <c r="J6" s="2" t="s">
        <v>62</v>
      </c>
      <c r="K6" s="2"/>
    </row>
    <row r="7" spans="1:11" ht="20" customHeight="1">
      <c r="A7" s="2" t="s">
        <v>63</v>
      </c>
      <c r="B7" s="2" t="s">
        <v>59</v>
      </c>
      <c r="C7" s="2" t="s">
        <v>64</v>
      </c>
      <c r="D7" s="2" t="s">
        <v>49</v>
      </c>
      <c r="E7" s="2" t="s">
        <v>42</v>
      </c>
      <c r="F7" s="2" t="s">
        <v>61</v>
      </c>
      <c r="G7" s="2" t="s">
        <v>44</v>
      </c>
      <c r="H7" s="2" t="s">
        <v>45</v>
      </c>
      <c r="I7" s="2">
        <v>5</v>
      </c>
      <c r="J7" s="2" t="s">
        <v>65</v>
      </c>
      <c r="K7" s="2"/>
    </row>
    <row r="8" spans="1:11" ht="20" customHeight="1">
      <c r="A8" s="2" t="s">
        <v>66</v>
      </c>
      <c r="B8" s="2" t="s">
        <v>59</v>
      </c>
      <c r="C8" s="2" t="s">
        <v>67</v>
      </c>
      <c r="D8" s="2" t="s">
        <v>49</v>
      </c>
      <c r="E8" s="2" t="s">
        <v>42</v>
      </c>
      <c r="F8" s="2" t="s">
        <v>61</v>
      </c>
      <c r="G8" s="2" t="s">
        <v>44</v>
      </c>
      <c r="H8" s="2" t="s">
        <v>45</v>
      </c>
      <c r="I8" s="2">
        <v>8</v>
      </c>
      <c r="J8" s="2" t="s">
        <v>68</v>
      </c>
      <c r="K8" s="2"/>
    </row>
    <row r="9" spans="1:11" ht="20" customHeight="1">
      <c r="A9" s="2" t="s">
        <v>69</v>
      </c>
      <c r="B9" s="2" t="s">
        <v>59</v>
      </c>
      <c r="C9" s="2" t="s">
        <v>70</v>
      </c>
      <c r="D9" s="2" t="s">
        <v>49</v>
      </c>
      <c r="E9" s="2" t="s">
        <v>42</v>
      </c>
      <c r="F9" s="2" t="s">
        <v>61</v>
      </c>
      <c r="G9" s="2" t="s">
        <v>44</v>
      </c>
      <c r="H9" s="2" t="s">
        <v>45</v>
      </c>
      <c r="I9" s="2">
        <v>8</v>
      </c>
      <c r="J9" s="2" t="s">
        <v>71</v>
      </c>
      <c r="K9" s="2"/>
    </row>
    <row r="10" spans="1:11" ht="20" customHeight="1">
      <c r="A10" s="2" t="s">
        <v>72</v>
      </c>
      <c r="B10" s="2" t="s">
        <v>73</v>
      </c>
      <c r="C10" s="2" t="s">
        <v>74</v>
      </c>
      <c r="D10" s="2" t="s">
        <v>75</v>
      </c>
      <c r="E10" s="2" t="s">
        <v>42</v>
      </c>
      <c r="F10" s="2" t="s">
        <v>76</v>
      </c>
      <c r="G10" s="2" t="s">
        <v>44</v>
      </c>
      <c r="H10" s="2" t="s">
        <v>45</v>
      </c>
      <c r="I10" s="2">
        <v>8</v>
      </c>
      <c r="J10" s="2" t="s">
        <v>77</v>
      </c>
      <c r="K10" s="2"/>
    </row>
    <row r="11" spans="1:11" ht="20" customHeight="1">
      <c r="A11" s="2" t="s">
        <v>78</v>
      </c>
      <c r="B11" s="2" t="s">
        <v>73</v>
      </c>
      <c r="C11" s="2" t="s">
        <v>79</v>
      </c>
      <c r="D11" s="2" t="s">
        <v>75</v>
      </c>
      <c r="E11" s="2" t="s">
        <v>42</v>
      </c>
      <c r="F11" s="2" t="s">
        <v>76</v>
      </c>
      <c r="G11" s="2" t="s">
        <v>44</v>
      </c>
      <c r="H11" s="2" t="s">
        <v>45</v>
      </c>
      <c r="I11" s="2">
        <v>13</v>
      </c>
      <c r="J11" s="2" t="s">
        <v>80</v>
      </c>
      <c r="K11" s="2"/>
    </row>
    <row r="12" spans="1:11" ht="20" customHeight="1">
      <c r="A12" s="2" t="s">
        <v>81</v>
      </c>
      <c r="B12" s="2" t="s">
        <v>73</v>
      </c>
      <c r="C12" s="2" t="s">
        <v>82</v>
      </c>
      <c r="D12" s="2" t="s">
        <v>75</v>
      </c>
      <c r="E12" s="2" t="s">
        <v>42</v>
      </c>
      <c r="F12" s="2" t="s">
        <v>76</v>
      </c>
      <c r="G12" s="2" t="s">
        <v>44</v>
      </c>
      <c r="H12" s="2" t="s">
        <v>45</v>
      </c>
      <c r="I12" s="2">
        <v>8</v>
      </c>
      <c r="J12" s="2" t="s">
        <v>83</v>
      </c>
      <c r="K12" s="2"/>
    </row>
    <row r="13" spans="1:11" ht="20" customHeight="1">
      <c r="A13" s="2" t="s">
        <v>84</v>
      </c>
      <c r="B13" s="2" t="s">
        <v>73</v>
      </c>
      <c r="C13" s="2" t="s">
        <v>85</v>
      </c>
      <c r="D13" s="2" t="s">
        <v>75</v>
      </c>
      <c r="E13" s="2" t="s">
        <v>42</v>
      </c>
      <c r="F13" s="2" t="s">
        <v>76</v>
      </c>
      <c r="G13" s="2" t="s">
        <v>44</v>
      </c>
      <c r="H13" s="2" t="s">
        <v>45</v>
      </c>
      <c r="I13" s="2">
        <v>5</v>
      </c>
      <c r="J13" s="2" t="s">
        <v>86</v>
      </c>
      <c r="K13" s="2"/>
    </row>
    <row r="14" spans="1:11" ht="20" customHeight="1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42</v>
      </c>
      <c r="F14" s="2" t="s">
        <v>91</v>
      </c>
      <c r="G14" s="2" t="s">
        <v>44</v>
      </c>
      <c r="H14" s="2" t="s">
        <v>45</v>
      </c>
      <c r="I14" s="2">
        <v>8</v>
      </c>
      <c r="J14" s="2" t="s">
        <v>92</v>
      </c>
      <c r="K14" s="2"/>
    </row>
    <row r="15" spans="1:11" ht="20" customHeight="1">
      <c r="A15" s="2" t="s">
        <v>93</v>
      </c>
      <c r="B15" s="2" t="s">
        <v>88</v>
      </c>
      <c r="C15" s="2" t="s">
        <v>94</v>
      </c>
      <c r="D15" s="2" t="s">
        <v>90</v>
      </c>
      <c r="E15" s="2" t="s">
        <v>42</v>
      </c>
      <c r="F15" s="2" t="s">
        <v>91</v>
      </c>
      <c r="G15" s="2" t="s">
        <v>44</v>
      </c>
      <c r="H15" s="2" t="s">
        <v>45</v>
      </c>
      <c r="I15" s="2">
        <v>8</v>
      </c>
      <c r="J15" s="2" t="s">
        <v>95</v>
      </c>
      <c r="K15" s="2"/>
    </row>
    <row r="16" spans="1:11" ht="20" customHeight="1">
      <c r="A16" s="2" t="s">
        <v>96</v>
      </c>
      <c r="B16" s="2" t="s">
        <v>88</v>
      </c>
      <c r="C16" s="2" t="s">
        <v>97</v>
      </c>
      <c r="D16" s="2" t="s">
        <v>90</v>
      </c>
      <c r="E16" s="2" t="s">
        <v>42</v>
      </c>
      <c r="F16" s="2" t="s">
        <v>91</v>
      </c>
      <c r="G16" s="2" t="s">
        <v>44</v>
      </c>
      <c r="H16" s="2" t="s">
        <v>45</v>
      </c>
      <c r="I16" s="2">
        <v>8</v>
      </c>
      <c r="J16" s="2" t="s">
        <v>98</v>
      </c>
      <c r="K16" s="2"/>
    </row>
    <row r="17" spans="1:11" ht="20" customHeight="1">
      <c r="A17" s="2" t="s">
        <v>99</v>
      </c>
      <c r="B17" s="2" t="s">
        <v>88</v>
      </c>
      <c r="C17" s="2" t="s">
        <v>100</v>
      </c>
      <c r="D17" s="2" t="s">
        <v>90</v>
      </c>
      <c r="E17" s="2" t="s">
        <v>42</v>
      </c>
      <c r="F17" s="2" t="s">
        <v>91</v>
      </c>
      <c r="G17" s="2" t="s">
        <v>44</v>
      </c>
      <c r="H17" s="2" t="s">
        <v>45</v>
      </c>
      <c r="I17" s="2">
        <v>5</v>
      </c>
      <c r="J17" s="2" t="s">
        <v>101</v>
      </c>
      <c r="K17" s="2"/>
    </row>
    <row r="18" spans="1:11" ht="20" customHeight="1">
      <c r="A18" s="2" t="s">
        <v>102</v>
      </c>
      <c r="B18" s="2" t="s">
        <v>88</v>
      </c>
      <c r="C18" s="2" t="s">
        <v>103</v>
      </c>
      <c r="D18" s="2" t="s">
        <v>90</v>
      </c>
      <c r="E18" s="2" t="s">
        <v>42</v>
      </c>
      <c r="F18" s="2" t="s">
        <v>91</v>
      </c>
      <c r="G18" s="2" t="s">
        <v>44</v>
      </c>
      <c r="H18" s="2" t="s">
        <v>45</v>
      </c>
      <c r="I18" s="2">
        <v>13</v>
      </c>
      <c r="J18" s="2" t="s">
        <v>104</v>
      </c>
      <c r="K18" s="2"/>
    </row>
    <row r="19" spans="1:11" ht="20" customHeight="1">
      <c r="A19" s="2" t="s">
        <v>105</v>
      </c>
      <c r="B19" s="2" t="s">
        <v>106</v>
      </c>
      <c r="C19" s="2" t="s">
        <v>107</v>
      </c>
      <c r="D19" s="2" t="s">
        <v>75</v>
      </c>
      <c r="E19" s="2" t="s">
        <v>42</v>
      </c>
      <c r="F19" s="2" t="s">
        <v>108</v>
      </c>
      <c r="G19" s="2" t="s">
        <v>44</v>
      </c>
      <c r="H19" s="2" t="s">
        <v>45</v>
      </c>
      <c r="I19" s="2">
        <v>5</v>
      </c>
      <c r="J19" s="2" t="s">
        <v>109</v>
      </c>
      <c r="K19" s="2"/>
    </row>
    <row r="20" spans="1:11" ht="20" customHeight="1">
      <c r="A20" s="2" t="s">
        <v>110</v>
      </c>
      <c r="B20" s="2" t="s">
        <v>106</v>
      </c>
      <c r="C20" s="2" t="s">
        <v>111</v>
      </c>
      <c r="D20" s="2" t="s">
        <v>75</v>
      </c>
      <c r="E20" s="2" t="s">
        <v>42</v>
      </c>
      <c r="F20" s="2" t="s">
        <v>108</v>
      </c>
      <c r="G20" s="2" t="s">
        <v>44</v>
      </c>
      <c r="H20" s="2" t="s">
        <v>45</v>
      </c>
      <c r="I20" s="2">
        <v>13</v>
      </c>
      <c r="J20" s="2" t="s">
        <v>112</v>
      </c>
      <c r="K20" s="2"/>
    </row>
    <row r="21" spans="1:11" ht="20" customHeight="1">
      <c r="A21" s="2" t="s">
        <v>113</v>
      </c>
      <c r="B21" s="2" t="s">
        <v>106</v>
      </c>
      <c r="C21" s="2" t="s">
        <v>114</v>
      </c>
      <c r="D21" s="2" t="s">
        <v>75</v>
      </c>
      <c r="E21" s="2" t="s">
        <v>42</v>
      </c>
      <c r="F21" s="2" t="s">
        <v>108</v>
      </c>
      <c r="G21" s="2" t="s">
        <v>44</v>
      </c>
      <c r="H21" s="2" t="s">
        <v>45</v>
      </c>
      <c r="I21" s="2">
        <v>8</v>
      </c>
      <c r="J21" s="2" t="s">
        <v>115</v>
      </c>
      <c r="K21" s="2"/>
    </row>
    <row r="22" spans="1:11" ht="20" customHeight="1">
      <c r="A22" s="2" t="s">
        <v>116</v>
      </c>
      <c r="B22" s="2" t="s">
        <v>106</v>
      </c>
      <c r="C22" s="2" t="s">
        <v>117</v>
      </c>
      <c r="D22" s="2" t="s">
        <v>90</v>
      </c>
      <c r="E22" s="2" t="s">
        <v>42</v>
      </c>
      <c r="F22" s="2" t="s">
        <v>108</v>
      </c>
      <c r="G22" s="2" t="s">
        <v>44</v>
      </c>
      <c r="H22" s="2" t="s">
        <v>45</v>
      </c>
      <c r="I22" s="2">
        <v>8</v>
      </c>
      <c r="J22" s="2" t="s">
        <v>118</v>
      </c>
      <c r="K22" s="2"/>
    </row>
    <row r="23" spans="1:11" ht="20" customHeight="1">
      <c r="A23" s="2" t="s">
        <v>119</v>
      </c>
      <c r="B23" s="2" t="s">
        <v>106</v>
      </c>
      <c r="C23" s="2" t="s">
        <v>120</v>
      </c>
      <c r="D23" s="2" t="s">
        <v>75</v>
      </c>
      <c r="E23" s="2" t="s">
        <v>42</v>
      </c>
      <c r="F23" s="2" t="s">
        <v>108</v>
      </c>
      <c r="G23" s="2" t="s">
        <v>44</v>
      </c>
      <c r="H23" s="2" t="s">
        <v>45</v>
      </c>
      <c r="I23" s="2">
        <v>13</v>
      </c>
      <c r="J23" s="2" t="s">
        <v>121</v>
      </c>
      <c r="K23" s="2"/>
    </row>
    <row r="24" spans="1:11" ht="20" customHeight="1">
      <c r="A24" s="2" t="s">
        <v>122</v>
      </c>
      <c r="B24" s="2" t="s">
        <v>123</v>
      </c>
      <c r="C24" s="2" t="s">
        <v>124</v>
      </c>
      <c r="D24" s="2" t="s">
        <v>75</v>
      </c>
      <c r="E24" s="2" t="s">
        <v>42</v>
      </c>
      <c r="F24" s="2" t="s">
        <v>125</v>
      </c>
      <c r="G24" s="2" t="s">
        <v>44</v>
      </c>
      <c r="H24" s="2" t="s">
        <v>45</v>
      </c>
      <c r="I24" s="2">
        <v>8</v>
      </c>
      <c r="J24" s="2" t="s">
        <v>126</v>
      </c>
      <c r="K24" s="2"/>
    </row>
    <row r="25" spans="1:11" ht="20" customHeight="1">
      <c r="A25" s="2" t="s">
        <v>127</v>
      </c>
      <c r="B25" s="2" t="s">
        <v>123</v>
      </c>
      <c r="C25" s="2" t="s">
        <v>128</v>
      </c>
      <c r="D25" s="2" t="s">
        <v>75</v>
      </c>
      <c r="E25" s="2" t="s">
        <v>42</v>
      </c>
      <c r="F25" s="2" t="s">
        <v>125</v>
      </c>
      <c r="G25" s="2" t="s">
        <v>44</v>
      </c>
      <c r="H25" s="2" t="s">
        <v>45</v>
      </c>
      <c r="I25" s="2">
        <v>13</v>
      </c>
      <c r="J25" s="2" t="s">
        <v>129</v>
      </c>
      <c r="K25" s="2"/>
    </row>
    <row r="26" spans="1:11" ht="20" customHeight="1">
      <c r="A26" s="2" t="s">
        <v>130</v>
      </c>
      <c r="B26" s="2" t="s">
        <v>123</v>
      </c>
      <c r="C26" s="2" t="s">
        <v>131</v>
      </c>
      <c r="D26" s="2" t="s">
        <v>75</v>
      </c>
      <c r="E26" s="2" t="s">
        <v>42</v>
      </c>
      <c r="F26" s="2" t="s">
        <v>125</v>
      </c>
      <c r="G26" s="2" t="s">
        <v>44</v>
      </c>
      <c r="H26" s="2" t="s">
        <v>45</v>
      </c>
      <c r="I26" s="2">
        <v>5</v>
      </c>
      <c r="J26" s="2" t="s">
        <v>132</v>
      </c>
      <c r="K26" s="2"/>
    </row>
    <row r="27" spans="1:11" ht="20" customHeight="1">
      <c r="A27" s="2" t="s">
        <v>133</v>
      </c>
      <c r="B27" s="2" t="s">
        <v>134</v>
      </c>
      <c r="C27" s="2" t="s">
        <v>135</v>
      </c>
      <c r="D27" s="2" t="s">
        <v>41</v>
      </c>
      <c r="E27" s="2" t="s">
        <v>42</v>
      </c>
      <c r="F27" s="2" t="s">
        <v>136</v>
      </c>
      <c r="G27" s="2" t="s">
        <v>44</v>
      </c>
      <c r="H27" s="2" t="s">
        <v>45</v>
      </c>
      <c r="I27" s="2">
        <v>5</v>
      </c>
      <c r="J27" s="2" t="s">
        <v>137</v>
      </c>
      <c r="K27" s="2"/>
    </row>
    <row r="28" spans="1:11" ht="20" customHeight="1">
      <c r="A28" s="2" t="s">
        <v>138</v>
      </c>
      <c r="B28" s="2" t="s">
        <v>134</v>
      </c>
      <c r="C28" s="2" t="s">
        <v>139</v>
      </c>
      <c r="D28" s="2" t="s">
        <v>41</v>
      </c>
      <c r="E28" s="2" t="s">
        <v>42</v>
      </c>
      <c r="F28" s="2" t="s">
        <v>136</v>
      </c>
      <c r="G28" s="2" t="s">
        <v>44</v>
      </c>
      <c r="H28" s="2" t="s">
        <v>45</v>
      </c>
      <c r="I28" s="2">
        <v>8</v>
      </c>
      <c r="J28" s="2" t="s">
        <v>140</v>
      </c>
      <c r="K28" s="2"/>
    </row>
    <row r="29" spans="1:11" ht="20" customHeight="1">
      <c r="A29" s="2" t="s">
        <v>141</v>
      </c>
      <c r="B29" s="2" t="s">
        <v>134</v>
      </c>
      <c r="C29" s="2" t="s">
        <v>142</v>
      </c>
      <c r="D29" s="2" t="s">
        <v>41</v>
      </c>
      <c r="E29" s="2" t="s">
        <v>42</v>
      </c>
      <c r="F29" s="2" t="s">
        <v>136</v>
      </c>
      <c r="G29" s="2" t="s">
        <v>44</v>
      </c>
      <c r="H29" s="2" t="s">
        <v>45</v>
      </c>
      <c r="I29" s="2">
        <v>8</v>
      </c>
      <c r="J29" s="2" t="s">
        <v>143</v>
      </c>
      <c r="K29" s="2"/>
    </row>
    <row r="30" spans="1:11" ht="20" customHeight="1">
      <c r="A30" s="2" t="s">
        <v>144</v>
      </c>
      <c r="B30" s="2" t="s">
        <v>134</v>
      </c>
      <c r="C30" s="2" t="s">
        <v>145</v>
      </c>
      <c r="D30" s="2" t="s">
        <v>41</v>
      </c>
      <c r="E30" s="2" t="s">
        <v>42</v>
      </c>
      <c r="F30" s="2" t="s">
        <v>136</v>
      </c>
      <c r="G30" s="2" t="s">
        <v>44</v>
      </c>
      <c r="H30" s="2" t="s">
        <v>45</v>
      </c>
      <c r="I30" s="2">
        <v>13</v>
      </c>
      <c r="J30" s="2" t="s">
        <v>146</v>
      </c>
      <c r="K30" s="2"/>
    </row>
    <row r="31" spans="1:11" ht="20" customHeight="1">
      <c r="A31" s="2" t="s">
        <v>147</v>
      </c>
      <c r="B31" s="2" t="s">
        <v>73</v>
      </c>
      <c r="C31" s="2" t="s">
        <v>148</v>
      </c>
      <c r="D31" s="2" t="s">
        <v>75</v>
      </c>
      <c r="E31" s="2" t="s">
        <v>149</v>
      </c>
      <c r="F31" s="2" t="s">
        <v>150</v>
      </c>
      <c r="G31" s="2" t="s">
        <v>151</v>
      </c>
      <c r="H31" s="2" t="s">
        <v>45</v>
      </c>
      <c r="I31" s="2">
        <v>8</v>
      </c>
      <c r="J31" s="2" t="s">
        <v>152</v>
      </c>
      <c r="K31" s="2" t="s">
        <v>153</v>
      </c>
    </row>
    <row r="32" spans="1:11" ht="20" customHeight="1">
      <c r="A32" s="2" t="s">
        <v>154</v>
      </c>
      <c r="B32" s="2" t="s">
        <v>155</v>
      </c>
      <c r="C32" s="2" t="s">
        <v>156</v>
      </c>
      <c r="D32" s="2" t="s">
        <v>49</v>
      </c>
      <c r="E32" s="2" t="s">
        <v>149</v>
      </c>
      <c r="F32" s="2" t="s">
        <v>150</v>
      </c>
      <c r="G32" s="2" t="s">
        <v>151</v>
      </c>
      <c r="H32" s="2" t="s">
        <v>45</v>
      </c>
      <c r="I32" s="2">
        <v>8</v>
      </c>
      <c r="J32" s="2" t="s">
        <v>157</v>
      </c>
      <c r="K32" s="2"/>
    </row>
    <row r="33" spans="1:11" ht="20" customHeight="1">
      <c r="A33" s="2" t="s">
        <v>158</v>
      </c>
      <c r="B33" s="2" t="s">
        <v>155</v>
      </c>
      <c r="C33" s="2" t="s">
        <v>159</v>
      </c>
      <c r="D33" s="2" t="s">
        <v>49</v>
      </c>
      <c r="E33" s="2" t="s">
        <v>149</v>
      </c>
      <c r="F33" s="2" t="s">
        <v>150</v>
      </c>
      <c r="G33" s="2" t="s">
        <v>151</v>
      </c>
      <c r="H33" s="2" t="s">
        <v>45</v>
      </c>
      <c r="I33" s="2">
        <v>5</v>
      </c>
      <c r="J33" s="2" t="s">
        <v>160</v>
      </c>
      <c r="K33" s="2"/>
    </row>
    <row r="34" spans="1:11" ht="20" customHeight="1">
      <c r="A34" s="2" t="s">
        <v>161</v>
      </c>
      <c r="B34" s="2" t="s">
        <v>162</v>
      </c>
      <c r="C34" s="2" t="s">
        <v>163</v>
      </c>
      <c r="D34" s="2" t="s">
        <v>41</v>
      </c>
      <c r="E34" s="2" t="s">
        <v>42</v>
      </c>
      <c r="F34" s="2" t="s">
        <v>164</v>
      </c>
      <c r="G34" s="2" t="s">
        <v>44</v>
      </c>
      <c r="H34" s="2" t="s">
        <v>165</v>
      </c>
      <c r="I34" s="2">
        <v>8</v>
      </c>
      <c r="J34" s="2" t="s">
        <v>166</v>
      </c>
      <c r="K34" s="2"/>
    </row>
    <row r="35" spans="1:11" ht="20" customHeight="1">
      <c r="A35" s="2" t="s">
        <v>167</v>
      </c>
      <c r="B35" s="2" t="s">
        <v>162</v>
      </c>
      <c r="C35" s="2" t="s">
        <v>168</v>
      </c>
      <c r="D35" s="2" t="s">
        <v>41</v>
      </c>
      <c r="E35" s="2" t="s">
        <v>42</v>
      </c>
      <c r="F35" s="2" t="s">
        <v>164</v>
      </c>
      <c r="G35" s="2" t="s">
        <v>44</v>
      </c>
      <c r="H35" s="2" t="s">
        <v>45</v>
      </c>
      <c r="I35" s="2">
        <v>5</v>
      </c>
      <c r="J35" s="2" t="s">
        <v>169</v>
      </c>
      <c r="K35" s="2"/>
    </row>
    <row r="36" spans="1:11" ht="20" customHeight="1">
      <c r="A36" s="2" t="s">
        <v>170</v>
      </c>
      <c r="B36" s="2" t="s">
        <v>162</v>
      </c>
      <c r="C36" s="2" t="s">
        <v>171</v>
      </c>
      <c r="D36" s="2" t="s">
        <v>41</v>
      </c>
      <c r="E36" s="2" t="s">
        <v>149</v>
      </c>
      <c r="F36" s="2" t="s">
        <v>164</v>
      </c>
      <c r="G36" s="2" t="s">
        <v>44</v>
      </c>
      <c r="H36" s="2" t="s">
        <v>172</v>
      </c>
      <c r="I36" s="2">
        <v>13</v>
      </c>
      <c r="J36" s="2" t="s">
        <v>173</v>
      </c>
      <c r="K36" s="2"/>
    </row>
    <row r="37" spans="1:11" ht="20" customHeight="1">
      <c r="A37" s="2" t="s">
        <v>174</v>
      </c>
      <c r="B37" s="2" t="s">
        <v>162</v>
      </c>
      <c r="C37" s="2" t="s">
        <v>175</v>
      </c>
      <c r="D37" s="2" t="s">
        <v>41</v>
      </c>
      <c r="E37" s="2" t="s">
        <v>42</v>
      </c>
      <c r="F37" s="2" t="s">
        <v>164</v>
      </c>
      <c r="G37" s="2" t="s">
        <v>44</v>
      </c>
      <c r="H37" s="2" t="s">
        <v>45</v>
      </c>
      <c r="I37" s="2">
        <v>5</v>
      </c>
      <c r="J37" s="2" t="s">
        <v>176</v>
      </c>
      <c r="K37" s="2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4">
    <dataValidation type="list" allowBlank="1" sqref="E2:E200" xr:uid="{00000000-0002-0000-0100-000000000000}">
      <formula1>"Must,Should,Could,Won't"</formula1>
    </dataValidation>
    <dataValidation type="list" allowBlank="1" sqref="G2:G200" xr:uid="{00000000-0002-0000-0100-000001000000}">
      <formula1>"Backlog,Ready,To Do,In Progress,Review,Done,Blocked"</formula1>
    </dataValidation>
    <dataValidation type="list" allowBlank="1" sqref="H2:H200" xr:uid="{00000000-0002-0000-0100-000002000000}">
      <formula1>"Developer,Product Owner,Tester,Designer,DevOps"</formula1>
    </dataValidation>
    <dataValidation type="whole" sqref="I2:I200" xr:uid="{00000000-0002-0000-0100-000003000000}">
      <formula1>0</formula1>
      <formula2>40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tabSelected="1" zoomScale="120" zoomScaleNormal="120" workbookViewId="0">
      <selection activeCell="C2" sqref="C2"/>
    </sheetView>
  </sheetViews>
  <sheetFormatPr baseColWidth="10" defaultColWidth="8.83203125" defaultRowHeight="15"/>
  <cols>
    <col min="1" max="1" width="7.33203125" customWidth="1"/>
    <col min="2" max="2" width="31.5" customWidth="1"/>
    <col min="3" max="3" width="12.6640625" customWidth="1"/>
    <col min="4" max="4" width="11.33203125" customWidth="1"/>
    <col min="5" max="5" width="50" customWidth="1"/>
    <col min="6" max="6" width="38.83203125" customWidth="1"/>
    <col min="7" max="7" width="14.1640625" customWidth="1"/>
    <col min="8" max="8" width="8" customWidth="1"/>
  </cols>
  <sheetData>
    <row r="1" spans="1:11" ht="25.5" customHeight="1">
      <c r="A1" s="15" t="s">
        <v>3</v>
      </c>
      <c r="B1" s="15" t="s">
        <v>4</v>
      </c>
      <c r="C1" s="15" t="s">
        <v>177</v>
      </c>
      <c r="D1" s="15" t="s">
        <v>178</v>
      </c>
      <c r="E1" s="15" t="s">
        <v>179</v>
      </c>
      <c r="F1" s="15" t="s">
        <v>180</v>
      </c>
      <c r="G1" s="15" t="s">
        <v>5</v>
      </c>
      <c r="H1" s="15" t="s">
        <v>6</v>
      </c>
      <c r="I1" s="1"/>
      <c r="J1" s="1"/>
      <c r="K1" s="1"/>
    </row>
    <row r="2" spans="1:11" ht="20" customHeight="1">
      <c r="A2" s="2" t="s">
        <v>43</v>
      </c>
      <c r="B2" s="2" t="s">
        <v>181</v>
      </c>
      <c r="C2" s="20"/>
      <c r="D2" s="20"/>
      <c r="E2" s="2" t="s">
        <v>182</v>
      </c>
      <c r="F2" s="2" t="s">
        <v>183</v>
      </c>
      <c r="G2" s="2">
        <v>13</v>
      </c>
      <c r="H2" s="2" t="s">
        <v>184</v>
      </c>
      <c r="I2" s="1"/>
      <c r="J2" s="1"/>
      <c r="K2" s="1"/>
    </row>
    <row r="3" spans="1:11" ht="20" customHeight="1">
      <c r="A3" s="2" t="s">
        <v>61</v>
      </c>
      <c r="B3" s="2" t="s">
        <v>185</v>
      </c>
      <c r="C3" s="20"/>
      <c r="D3" s="20"/>
      <c r="E3" s="2" t="s">
        <v>186</v>
      </c>
      <c r="F3" s="2" t="s">
        <v>187</v>
      </c>
      <c r="G3" s="2">
        <v>32</v>
      </c>
      <c r="H3" s="2" t="s">
        <v>184</v>
      </c>
      <c r="I3" s="1"/>
      <c r="J3" s="1"/>
      <c r="K3" s="1"/>
    </row>
    <row r="4" spans="1:11" ht="20" customHeight="1">
      <c r="A4" s="2" t="s">
        <v>76</v>
      </c>
      <c r="B4" s="2" t="s">
        <v>188</v>
      </c>
      <c r="C4" s="20"/>
      <c r="D4" s="20"/>
      <c r="E4" s="2" t="s">
        <v>189</v>
      </c>
      <c r="F4" s="2" t="s">
        <v>190</v>
      </c>
      <c r="G4" s="2">
        <v>37</v>
      </c>
      <c r="H4" s="2" t="s">
        <v>184</v>
      </c>
      <c r="I4" s="1"/>
      <c r="J4" s="1"/>
      <c r="K4" s="1"/>
    </row>
    <row r="5" spans="1:11" ht="20" customHeight="1">
      <c r="A5" s="2" t="s">
        <v>91</v>
      </c>
      <c r="B5" s="2" t="s">
        <v>191</v>
      </c>
      <c r="C5" s="20"/>
      <c r="D5" s="20"/>
      <c r="E5" s="2" t="s">
        <v>192</v>
      </c>
      <c r="F5" s="2" t="s">
        <v>193</v>
      </c>
      <c r="G5" s="2">
        <v>42</v>
      </c>
      <c r="H5" s="2" t="s">
        <v>184</v>
      </c>
      <c r="I5" s="1"/>
      <c r="J5" s="1"/>
      <c r="K5" s="1"/>
    </row>
    <row r="6" spans="1:11" ht="20" customHeight="1">
      <c r="A6" s="2" t="s">
        <v>108</v>
      </c>
      <c r="B6" s="2" t="s">
        <v>194</v>
      </c>
      <c r="C6" s="20"/>
      <c r="D6" s="20"/>
      <c r="E6" s="2" t="s">
        <v>195</v>
      </c>
      <c r="F6" s="2" t="s">
        <v>196</v>
      </c>
      <c r="G6" s="2">
        <v>47</v>
      </c>
      <c r="H6" s="2" t="s">
        <v>184</v>
      </c>
      <c r="I6" s="1"/>
      <c r="J6" s="1"/>
      <c r="K6" s="1"/>
    </row>
    <row r="7" spans="1:11" ht="20" customHeight="1">
      <c r="A7" s="2" t="s">
        <v>125</v>
      </c>
      <c r="B7" s="2" t="s">
        <v>197</v>
      </c>
      <c r="C7" s="20"/>
      <c r="D7" s="20"/>
      <c r="E7" s="2" t="s">
        <v>198</v>
      </c>
      <c r="F7" s="2" t="s">
        <v>199</v>
      </c>
      <c r="G7" s="2">
        <v>26</v>
      </c>
      <c r="H7" s="2" t="s">
        <v>184</v>
      </c>
      <c r="I7" s="1"/>
      <c r="J7" s="1"/>
      <c r="K7" s="1"/>
    </row>
    <row r="8" spans="1:11" ht="20" customHeight="1">
      <c r="A8" s="2" t="s">
        <v>136</v>
      </c>
      <c r="B8" s="2" t="s">
        <v>200</v>
      </c>
      <c r="C8" s="20"/>
      <c r="D8" s="20"/>
      <c r="E8" s="2" t="s">
        <v>201</v>
      </c>
      <c r="F8" s="2" t="s">
        <v>202</v>
      </c>
      <c r="G8" s="2">
        <v>34</v>
      </c>
      <c r="H8" s="2" t="s">
        <v>184</v>
      </c>
      <c r="I8" s="1"/>
      <c r="J8" s="1"/>
      <c r="K8" s="1"/>
    </row>
    <row r="9" spans="1:11" ht="20" customHeight="1">
      <c r="A9" s="2" t="s">
        <v>150</v>
      </c>
      <c r="B9" s="2" t="s">
        <v>203</v>
      </c>
      <c r="C9" s="20"/>
      <c r="D9" s="20"/>
      <c r="E9" s="2" t="s">
        <v>204</v>
      </c>
      <c r="F9" s="2" t="s">
        <v>205</v>
      </c>
      <c r="G9" s="2">
        <v>21</v>
      </c>
      <c r="H9" s="2" t="s">
        <v>184</v>
      </c>
      <c r="I9" s="1"/>
      <c r="J9" s="1"/>
      <c r="K9" s="1"/>
    </row>
    <row r="10" spans="1:11" ht="20" customHeight="1">
      <c r="A10" s="2" t="s">
        <v>164</v>
      </c>
      <c r="B10" s="2" t="s">
        <v>206</v>
      </c>
      <c r="C10" s="20"/>
      <c r="D10" s="20"/>
      <c r="E10" s="2" t="s">
        <v>207</v>
      </c>
      <c r="F10" s="2" t="s">
        <v>208</v>
      </c>
      <c r="G10" s="2">
        <v>31</v>
      </c>
      <c r="H10" s="2" t="s">
        <v>184</v>
      </c>
      <c r="I10" s="1"/>
      <c r="J10" s="1"/>
      <c r="K10" s="1"/>
    </row>
    <row r="11" spans="1:11" ht="20" customHeight="1">
      <c r="A11" s="1"/>
      <c r="B11" s="1"/>
      <c r="C11" s="17"/>
      <c r="D11" s="17"/>
      <c r="E11" s="1"/>
      <c r="F11" s="1"/>
      <c r="G11" s="1"/>
      <c r="H11" s="1"/>
      <c r="I11" s="1"/>
      <c r="J11" s="1"/>
      <c r="K11" s="1"/>
    </row>
    <row r="12" spans="1:11" ht="20" customHeight="1">
      <c r="A12" s="1"/>
      <c r="B12" s="1"/>
      <c r="C12" s="17"/>
      <c r="D12" s="17"/>
      <c r="E12" s="1"/>
      <c r="F12" s="1"/>
      <c r="G12" s="1"/>
      <c r="H12" s="1"/>
      <c r="I12" s="1"/>
      <c r="J12" s="1"/>
      <c r="K12" s="1"/>
    </row>
    <row r="13" spans="1:11" ht="20" customHeight="1">
      <c r="A13" s="1"/>
      <c r="B13" s="1"/>
      <c r="C13" s="17"/>
      <c r="D13" s="17"/>
      <c r="E13" s="1"/>
      <c r="F13" s="1"/>
      <c r="G13" s="1"/>
      <c r="H13" s="1"/>
      <c r="I13" s="1"/>
      <c r="J13" s="1"/>
      <c r="K13" s="1"/>
    </row>
    <row r="14" spans="1:11" ht="20" customHeight="1">
      <c r="A14" s="1"/>
      <c r="B14" s="1"/>
      <c r="C14" s="17"/>
      <c r="D14" s="17"/>
      <c r="E14" s="1"/>
      <c r="F14" s="1"/>
      <c r="G14" s="1"/>
      <c r="H14" s="1"/>
      <c r="I14" s="1"/>
      <c r="J14" s="1"/>
      <c r="K14" s="1"/>
    </row>
    <row r="15" spans="1:11" ht="20" customHeight="1">
      <c r="A15" s="1"/>
      <c r="B15" s="1"/>
      <c r="C15" s="17"/>
      <c r="D15" s="17"/>
      <c r="E15" s="1"/>
      <c r="F15" s="1"/>
      <c r="G15" s="1"/>
      <c r="H15" s="1"/>
      <c r="I15" s="1"/>
      <c r="J15" s="1"/>
      <c r="K15" s="1"/>
    </row>
    <row r="16" spans="1:11" ht="20" customHeight="1">
      <c r="A16" s="1"/>
      <c r="B16" s="1"/>
      <c r="C16" s="17"/>
      <c r="D16" s="17"/>
      <c r="E16" s="1"/>
      <c r="F16" s="1"/>
      <c r="G16" s="1"/>
      <c r="H16" s="1"/>
      <c r="I16" s="1"/>
      <c r="J16" s="1"/>
      <c r="K16" s="1"/>
    </row>
    <row r="17" spans="1:11" ht="20" customHeight="1">
      <c r="A17" s="1"/>
      <c r="B17" s="1"/>
      <c r="C17" s="17"/>
      <c r="D17" s="17"/>
      <c r="E17" s="1"/>
      <c r="F17" s="1"/>
      <c r="G17" s="1"/>
      <c r="H17" s="1"/>
      <c r="I17" s="1"/>
      <c r="J17" s="1"/>
      <c r="K17" s="1"/>
    </row>
    <row r="18" spans="1:11" ht="20" customHeight="1">
      <c r="A18" s="1"/>
      <c r="B18" s="1"/>
      <c r="C18" s="17"/>
      <c r="D18" s="17"/>
      <c r="E18" s="1"/>
      <c r="F18" s="1"/>
      <c r="G18" s="1"/>
      <c r="H18" s="1"/>
      <c r="I18" s="1"/>
      <c r="J18" s="1"/>
      <c r="K18" s="1"/>
    </row>
    <row r="19" spans="1:11" ht="20" customHeight="1">
      <c r="A19" s="1"/>
      <c r="B19" s="1"/>
      <c r="C19" s="17"/>
      <c r="D19" s="17"/>
      <c r="E19" s="1"/>
      <c r="F19" s="1"/>
      <c r="G19" s="1"/>
      <c r="H19" s="1"/>
      <c r="I19" s="1"/>
      <c r="J19" s="1"/>
      <c r="K19" s="1"/>
    </row>
    <row r="20" spans="1:11" ht="20" customHeight="1">
      <c r="A20" s="1"/>
      <c r="B20" s="1"/>
      <c r="C20" s="17"/>
      <c r="D20" s="17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1">
    <dataValidation type="list" allowBlank="1" sqref="H2:H20" xr:uid="{00000000-0002-0000-0200-000000000000}">
      <formula1>"Not Started,Planned,In Progress,Done,At Risk,Moved"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zoomScale="120" zoomScaleNormal="120" workbookViewId="0">
      <selection activeCell="I2" sqref="I2"/>
    </sheetView>
  </sheetViews>
  <sheetFormatPr baseColWidth="10" defaultColWidth="8.83203125" defaultRowHeight="15"/>
  <cols>
    <col min="1" max="1" width="5.5" customWidth="1"/>
    <col min="2" max="2" width="7.33203125" customWidth="1"/>
    <col min="3" max="3" width="34" customWidth="1"/>
    <col min="4" max="4" width="8.83203125" customWidth="1"/>
    <col min="5" max="5" width="9" customWidth="1"/>
    <col min="6" max="6" width="8" customWidth="1"/>
    <col min="7" max="7" width="8.1640625" customWidth="1"/>
    <col min="8" max="8" width="3.5" customWidth="1"/>
    <col min="9" max="9" width="9.5" customWidth="1"/>
    <col min="10" max="10" width="25.33203125" customWidth="1"/>
  </cols>
  <sheetData>
    <row r="1" spans="1:11" ht="25.5" customHeight="1">
      <c r="A1" s="15" t="s">
        <v>28</v>
      </c>
      <c r="B1" s="15" t="s">
        <v>3</v>
      </c>
      <c r="C1" s="15" t="s">
        <v>209</v>
      </c>
      <c r="D1" s="15" t="s">
        <v>210</v>
      </c>
      <c r="E1" s="15" t="s">
        <v>32</v>
      </c>
      <c r="F1" s="15" t="s">
        <v>6</v>
      </c>
      <c r="G1" s="15" t="s">
        <v>34</v>
      </c>
      <c r="H1" s="15" t="s">
        <v>211</v>
      </c>
      <c r="I1" s="15" t="s">
        <v>212</v>
      </c>
      <c r="J1" s="15" t="s">
        <v>213</v>
      </c>
      <c r="K1" s="1"/>
    </row>
    <row r="2" spans="1:11" ht="20" customHeight="1">
      <c r="A2" s="2" t="s">
        <v>214</v>
      </c>
      <c r="B2" s="2" t="s">
        <v>43</v>
      </c>
      <c r="C2" s="2" t="s">
        <v>215</v>
      </c>
      <c r="D2" s="2" t="s">
        <v>216</v>
      </c>
      <c r="E2" s="2" t="s">
        <v>42</v>
      </c>
      <c r="F2" s="2" t="s">
        <v>217</v>
      </c>
      <c r="G2" s="2" t="s">
        <v>45</v>
      </c>
      <c r="H2" s="2">
        <v>3</v>
      </c>
      <c r="I2" s="2"/>
      <c r="J2" s="2" t="s">
        <v>218</v>
      </c>
      <c r="K2" s="1"/>
    </row>
    <row r="3" spans="1:11" ht="20" customHeight="1">
      <c r="A3" s="2" t="s">
        <v>219</v>
      </c>
      <c r="B3" s="2" t="s">
        <v>43</v>
      </c>
      <c r="C3" s="2" t="s">
        <v>220</v>
      </c>
      <c r="D3" s="2" t="s">
        <v>221</v>
      </c>
      <c r="E3" s="2" t="s">
        <v>42</v>
      </c>
      <c r="F3" s="2" t="s">
        <v>217</v>
      </c>
      <c r="G3" s="2" t="s">
        <v>45</v>
      </c>
      <c r="H3" s="2">
        <v>3</v>
      </c>
      <c r="I3" s="2"/>
      <c r="J3" s="2" t="s">
        <v>222</v>
      </c>
      <c r="K3" s="1"/>
    </row>
    <row r="4" spans="1:11" ht="20" customHeight="1">
      <c r="A4" s="2" t="s">
        <v>223</v>
      </c>
      <c r="B4" s="2" t="s">
        <v>43</v>
      </c>
      <c r="C4" s="2" t="s">
        <v>224</v>
      </c>
      <c r="D4" s="2" t="s">
        <v>225</v>
      </c>
      <c r="E4" s="2" t="s">
        <v>42</v>
      </c>
      <c r="F4" s="2" t="s">
        <v>217</v>
      </c>
      <c r="G4" s="2" t="s">
        <v>45</v>
      </c>
      <c r="H4" s="2">
        <v>5</v>
      </c>
      <c r="I4" s="2"/>
      <c r="J4" s="2" t="s">
        <v>226</v>
      </c>
      <c r="K4" s="1"/>
    </row>
    <row r="5" spans="1:11" ht="20" customHeight="1">
      <c r="A5" s="2" t="s">
        <v>227</v>
      </c>
      <c r="B5" s="2" t="s">
        <v>43</v>
      </c>
      <c r="C5" s="2" t="s">
        <v>228</v>
      </c>
      <c r="D5" s="2" t="s">
        <v>229</v>
      </c>
      <c r="E5" s="2" t="s">
        <v>42</v>
      </c>
      <c r="F5" s="2" t="s">
        <v>217</v>
      </c>
      <c r="G5" s="2" t="s">
        <v>45</v>
      </c>
      <c r="H5" s="2">
        <v>2</v>
      </c>
      <c r="I5" s="2"/>
      <c r="J5" s="2" t="s">
        <v>230</v>
      </c>
      <c r="K5" s="1"/>
    </row>
    <row r="6" spans="1:11" ht="20" customHeight="1">
      <c r="A6" s="2" t="s">
        <v>231</v>
      </c>
      <c r="B6" s="2" t="s">
        <v>61</v>
      </c>
      <c r="C6" s="2" t="s">
        <v>232</v>
      </c>
      <c r="D6" s="2" t="s">
        <v>216</v>
      </c>
      <c r="E6" s="2" t="s">
        <v>42</v>
      </c>
      <c r="F6" s="2" t="s">
        <v>151</v>
      </c>
      <c r="G6" s="2" t="s">
        <v>45</v>
      </c>
      <c r="H6" s="2">
        <v>3</v>
      </c>
      <c r="I6" s="2"/>
      <c r="J6" s="2" t="s">
        <v>233</v>
      </c>
      <c r="K6" s="1"/>
    </row>
    <row r="7" spans="1:11" ht="20" customHeight="1">
      <c r="A7" s="2" t="s">
        <v>234</v>
      </c>
      <c r="B7" s="2" t="s">
        <v>61</v>
      </c>
      <c r="C7" s="2" t="s">
        <v>235</v>
      </c>
      <c r="D7" s="2" t="s">
        <v>216</v>
      </c>
      <c r="E7" s="2" t="s">
        <v>42</v>
      </c>
      <c r="F7" s="2" t="s">
        <v>151</v>
      </c>
      <c r="G7" s="2" t="s">
        <v>45</v>
      </c>
      <c r="H7" s="2">
        <v>8</v>
      </c>
      <c r="I7" s="2"/>
      <c r="J7" s="2" t="s">
        <v>236</v>
      </c>
      <c r="K7" s="1"/>
    </row>
    <row r="8" spans="1:11" ht="20" customHeight="1">
      <c r="A8" s="2" t="s">
        <v>237</v>
      </c>
      <c r="B8" s="2" t="s">
        <v>61</v>
      </c>
      <c r="C8" s="2" t="s">
        <v>238</v>
      </c>
      <c r="D8" s="2" t="s">
        <v>221</v>
      </c>
      <c r="E8" s="2" t="s">
        <v>42</v>
      </c>
      <c r="F8" s="2" t="s">
        <v>151</v>
      </c>
      <c r="G8" s="2" t="s">
        <v>45</v>
      </c>
      <c r="H8" s="2">
        <v>8</v>
      </c>
      <c r="I8" s="2"/>
      <c r="J8" s="2" t="s">
        <v>239</v>
      </c>
      <c r="K8" s="1"/>
    </row>
    <row r="9" spans="1:11" ht="20" customHeight="1">
      <c r="A9" s="2" t="s">
        <v>240</v>
      </c>
      <c r="B9" s="2" t="s">
        <v>76</v>
      </c>
      <c r="C9" s="2" t="s">
        <v>241</v>
      </c>
      <c r="D9" s="2" t="s">
        <v>216</v>
      </c>
      <c r="E9" s="2" t="s">
        <v>42</v>
      </c>
      <c r="F9" s="2" t="s">
        <v>151</v>
      </c>
      <c r="G9" s="2" t="s">
        <v>45</v>
      </c>
      <c r="H9" s="2">
        <v>8</v>
      </c>
      <c r="I9" s="2"/>
      <c r="J9" s="2" t="s">
        <v>242</v>
      </c>
      <c r="K9" s="1"/>
    </row>
    <row r="10" spans="1:11" ht="20" customHeight="1">
      <c r="A10" s="2" t="s">
        <v>243</v>
      </c>
      <c r="B10" s="2" t="s">
        <v>76</v>
      </c>
      <c r="C10" s="2" t="s">
        <v>244</v>
      </c>
      <c r="D10" s="2" t="s">
        <v>221</v>
      </c>
      <c r="E10" s="2" t="s">
        <v>42</v>
      </c>
      <c r="F10" s="2" t="s">
        <v>151</v>
      </c>
      <c r="G10" s="2" t="s">
        <v>45</v>
      </c>
      <c r="H10" s="2">
        <v>5</v>
      </c>
      <c r="I10" s="2"/>
      <c r="J10" s="2" t="s">
        <v>245</v>
      </c>
      <c r="K10" s="1"/>
    </row>
    <row r="11" spans="1:11" ht="20" customHeight="1">
      <c r="A11" s="2" t="s">
        <v>246</v>
      </c>
      <c r="B11" s="2" t="s">
        <v>108</v>
      </c>
      <c r="C11" s="2" t="s">
        <v>247</v>
      </c>
      <c r="D11" s="2" t="s">
        <v>248</v>
      </c>
      <c r="E11" s="2" t="s">
        <v>42</v>
      </c>
      <c r="F11" s="2" t="s">
        <v>151</v>
      </c>
      <c r="G11" s="2" t="s">
        <v>172</v>
      </c>
      <c r="H11" s="2">
        <v>5</v>
      </c>
      <c r="I11" s="2"/>
      <c r="J11" s="2" t="s">
        <v>249</v>
      </c>
      <c r="K11" s="1"/>
    </row>
    <row r="12" spans="1:11" ht="2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</row>
    <row r="13" spans="1:11" ht="20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</row>
    <row r="14" spans="1:11" ht="20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1"/>
    </row>
    <row r="15" spans="1:11" ht="2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</row>
    <row r="16" spans="1:11" ht="2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</row>
    <row r="17" spans="1:11" ht="20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</row>
    <row r="18" spans="1:11" ht="2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</row>
    <row r="19" spans="1:11" ht="2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</row>
    <row r="20" spans="1:11" ht="20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</row>
    <row r="21" spans="1:11" ht="2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1"/>
    </row>
    <row r="22" spans="1:11" ht="2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1"/>
    </row>
    <row r="23" spans="1:11" ht="2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1"/>
    </row>
    <row r="24" spans="1:11" ht="2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1"/>
    </row>
    <row r="25" spans="1:11" ht="2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1"/>
    </row>
    <row r="26" spans="1:11" ht="2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1"/>
    </row>
    <row r="27" spans="1:11" ht="2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1"/>
    </row>
    <row r="28" spans="1:11" ht="2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1"/>
    </row>
    <row r="29" spans="1:11" ht="2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1"/>
    </row>
    <row r="30" spans="1:11" ht="2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1"/>
    </row>
    <row r="31" spans="1:11" ht="2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1"/>
    </row>
    <row r="32" spans="1:11" ht="2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1"/>
    </row>
    <row r="33" spans="1:11" ht="2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1"/>
    </row>
    <row r="34" spans="1:11" ht="2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1"/>
    </row>
    <row r="35" spans="1:11" ht="2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1"/>
    </row>
    <row r="36" spans="1:11" ht="2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1"/>
    </row>
    <row r="37" spans="1:11" ht="2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1"/>
    </row>
    <row r="38" spans="1:11" ht="2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1"/>
    </row>
    <row r="39" spans="1:11" ht="2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1"/>
    </row>
    <row r="40" spans="1:11" ht="2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1"/>
    </row>
    <row r="41" spans="1:11" ht="2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1"/>
    </row>
    <row r="42" spans="1:11" ht="2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1"/>
    </row>
    <row r="43" spans="1:11" ht="2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1"/>
    </row>
    <row r="44" spans="1:11" ht="2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1"/>
    </row>
    <row r="45" spans="1:11" ht="2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1"/>
    </row>
    <row r="46" spans="1:11" ht="2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1"/>
    </row>
    <row r="47" spans="1:11" ht="2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1"/>
    </row>
    <row r="48" spans="1:11" ht="2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1"/>
    </row>
    <row r="49" spans="1:11" ht="2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1" ht="2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1"/>
    </row>
    <row r="51" spans="1:11" ht="2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1"/>
    </row>
    <row r="52" spans="1:11" ht="2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1"/>
    </row>
    <row r="53" spans="1:11" ht="2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1" ht="2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1"/>
    </row>
    <row r="55" spans="1:11" ht="2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ht="2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1" ht="2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1"/>
    </row>
    <row r="58" spans="1:11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1"/>
    </row>
    <row r="59" spans="1:11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1"/>
    </row>
    <row r="60" spans="1:11" ht="2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1" ht="2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1"/>
    </row>
    <row r="62" spans="1:11" ht="2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ht="2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1"/>
    </row>
    <row r="64" spans="1:11" ht="2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1" ht="2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1"/>
    </row>
    <row r="66" spans="1:11" ht="2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1" ht="2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1"/>
    </row>
    <row r="68" spans="1:11" ht="2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1" ht="2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1"/>
    </row>
    <row r="70" spans="1:11" ht="2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1" ht="2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1"/>
    </row>
    <row r="72" spans="1:11" ht="2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1"/>
    </row>
    <row r="73" spans="1:11" ht="2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1"/>
    </row>
    <row r="74" spans="1:11" ht="2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1"/>
    </row>
    <row r="75" spans="1:11" ht="2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1"/>
    </row>
    <row r="76" spans="1:11" ht="2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1"/>
    </row>
    <row r="77" spans="1:11" ht="2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1"/>
    </row>
    <row r="78" spans="1:11" ht="2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1"/>
    </row>
    <row r="79" spans="1:11" ht="2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1"/>
    </row>
    <row r="80" spans="1:11" ht="2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3">
    <dataValidation type="list" allowBlank="1" sqref="D2:D200" xr:uid="{00000000-0002-0000-0300-000000000000}">
      <formula1>"Backend,Frontend,Database,Test,Docs,Deployment"</formula1>
    </dataValidation>
    <dataValidation type="list" allowBlank="1" sqref="E2:E200" xr:uid="{00000000-0002-0000-0300-000001000000}">
      <formula1>"Must,Should,Could,Won't"</formula1>
    </dataValidation>
    <dataValidation type="list" allowBlank="1" sqref="F2:F200" xr:uid="{00000000-0002-0000-0300-000002000000}">
      <formula1>"Backlog,Ready,To Do,In Progress,Review,Done,Blocked"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="120" zoomScaleNormal="120" workbookViewId="0">
      <selection activeCell="E2" sqref="E2"/>
    </sheetView>
  </sheetViews>
  <sheetFormatPr baseColWidth="10" defaultColWidth="8.83203125" defaultRowHeight="15"/>
  <cols>
    <col min="1" max="1" width="9.83203125" customWidth="1"/>
    <col min="2" max="2" width="37" customWidth="1"/>
    <col min="3" max="3" width="9" customWidth="1"/>
    <col min="4" max="4" width="10.33203125" customWidth="1"/>
    <col min="5" max="5" width="19" customWidth="1"/>
    <col min="6" max="6" width="31.5" customWidth="1"/>
  </cols>
  <sheetData>
    <row r="1" spans="1:11" ht="25.5" customHeight="1">
      <c r="A1" s="15" t="s">
        <v>250</v>
      </c>
      <c r="B1" s="15" t="s">
        <v>251</v>
      </c>
      <c r="C1" s="15" t="s">
        <v>32</v>
      </c>
      <c r="D1" s="15" t="s">
        <v>6</v>
      </c>
      <c r="E1" s="15" t="s">
        <v>252</v>
      </c>
      <c r="F1" s="15" t="s">
        <v>37</v>
      </c>
      <c r="G1" s="1"/>
      <c r="H1" s="1"/>
      <c r="I1" s="1"/>
      <c r="J1" s="1"/>
      <c r="K1" s="1"/>
    </row>
    <row r="2" spans="1:11" ht="20" customHeight="1">
      <c r="A2" s="2" t="s">
        <v>253</v>
      </c>
      <c r="B2" s="2" t="s">
        <v>254</v>
      </c>
      <c r="C2" s="2" t="s">
        <v>42</v>
      </c>
      <c r="D2" s="2" t="s">
        <v>255</v>
      </c>
      <c r="E2" s="2"/>
      <c r="F2" s="2" t="s">
        <v>256</v>
      </c>
      <c r="G2" s="1"/>
      <c r="H2" s="1"/>
      <c r="I2" s="1"/>
      <c r="J2" s="1"/>
      <c r="K2" s="1"/>
    </row>
    <row r="3" spans="1:11" ht="20" customHeight="1">
      <c r="A3" s="2" t="s">
        <v>225</v>
      </c>
      <c r="B3" s="2" t="s">
        <v>257</v>
      </c>
      <c r="C3" s="2" t="s">
        <v>42</v>
      </c>
      <c r="D3" s="2" t="s">
        <v>255</v>
      </c>
      <c r="E3" s="2"/>
      <c r="F3" s="2" t="s">
        <v>258</v>
      </c>
      <c r="G3" s="1"/>
      <c r="H3" s="1"/>
      <c r="I3" s="1"/>
      <c r="J3" s="1"/>
      <c r="K3" s="1"/>
    </row>
    <row r="4" spans="1:11" ht="20" customHeight="1">
      <c r="A4" s="2" t="s">
        <v>225</v>
      </c>
      <c r="B4" s="2" t="s">
        <v>259</v>
      </c>
      <c r="C4" s="2" t="s">
        <v>42</v>
      </c>
      <c r="D4" s="2" t="s">
        <v>255</v>
      </c>
      <c r="E4" s="2"/>
      <c r="F4" s="2" t="s">
        <v>260</v>
      </c>
      <c r="G4" s="1"/>
      <c r="H4" s="1"/>
      <c r="I4" s="1"/>
      <c r="J4" s="1"/>
      <c r="K4" s="1"/>
    </row>
    <row r="5" spans="1:11" ht="20" customHeight="1">
      <c r="A5" s="2" t="s">
        <v>261</v>
      </c>
      <c r="B5" s="2" t="s">
        <v>262</v>
      </c>
      <c r="C5" s="2" t="s">
        <v>42</v>
      </c>
      <c r="D5" s="2" t="s">
        <v>255</v>
      </c>
      <c r="E5" s="2"/>
      <c r="F5" s="2"/>
      <c r="G5" s="1"/>
      <c r="H5" s="1"/>
      <c r="I5" s="1"/>
      <c r="J5" s="1"/>
      <c r="K5" s="1"/>
    </row>
    <row r="6" spans="1:11" ht="20" customHeight="1">
      <c r="A6" s="2" t="s">
        <v>261</v>
      </c>
      <c r="B6" s="2" t="s">
        <v>263</v>
      </c>
      <c r="C6" s="2" t="s">
        <v>42</v>
      </c>
      <c r="D6" s="2" t="s">
        <v>255</v>
      </c>
      <c r="E6" s="2"/>
      <c r="F6" s="2"/>
      <c r="G6" s="1"/>
      <c r="H6" s="1"/>
      <c r="I6" s="1"/>
      <c r="J6" s="1"/>
      <c r="K6" s="1"/>
    </row>
    <row r="7" spans="1:11" ht="20" customHeight="1">
      <c r="A7" s="2" t="s">
        <v>261</v>
      </c>
      <c r="B7" s="2" t="s">
        <v>264</v>
      </c>
      <c r="C7" s="2" t="s">
        <v>42</v>
      </c>
      <c r="D7" s="2" t="s">
        <v>255</v>
      </c>
      <c r="E7" s="2"/>
      <c r="F7" s="2"/>
      <c r="G7" s="1"/>
      <c r="H7" s="1"/>
      <c r="I7" s="1"/>
      <c r="J7" s="1"/>
      <c r="K7" s="1"/>
    </row>
    <row r="8" spans="1:11" ht="20" customHeight="1">
      <c r="A8" s="2" t="s">
        <v>73</v>
      </c>
      <c r="B8" s="2" t="s">
        <v>265</v>
      </c>
      <c r="C8" s="2" t="s">
        <v>42</v>
      </c>
      <c r="D8" s="2" t="s">
        <v>255</v>
      </c>
      <c r="E8" s="2"/>
      <c r="F8" s="2"/>
      <c r="G8" s="1"/>
      <c r="H8" s="1"/>
      <c r="I8" s="1"/>
      <c r="J8" s="1"/>
      <c r="K8" s="1"/>
    </row>
    <row r="9" spans="1:11" ht="20" customHeight="1">
      <c r="A9" s="2" t="s">
        <v>106</v>
      </c>
      <c r="B9" s="2" t="s">
        <v>266</v>
      </c>
      <c r="C9" s="2" t="s">
        <v>42</v>
      </c>
      <c r="D9" s="2" t="s">
        <v>255</v>
      </c>
      <c r="E9" s="2"/>
      <c r="F9" s="2"/>
      <c r="G9" s="1"/>
      <c r="H9" s="1"/>
      <c r="I9" s="1"/>
      <c r="J9" s="1"/>
      <c r="K9" s="1"/>
    </row>
    <row r="10" spans="1:11" ht="20" customHeight="1">
      <c r="A10" s="2" t="s">
        <v>123</v>
      </c>
      <c r="B10" s="2" t="s">
        <v>267</v>
      </c>
      <c r="C10" s="2" t="s">
        <v>42</v>
      </c>
      <c r="D10" s="2" t="s">
        <v>255</v>
      </c>
      <c r="E10" s="2"/>
      <c r="F10" s="2"/>
      <c r="G10" s="1"/>
      <c r="H10" s="1"/>
      <c r="I10" s="1"/>
      <c r="J10" s="1"/>
      <c r="K10" s="1"/>
    </row>
    <row r="11" spans="1:11" ht="20" customHeight="1">
      <c r="A11" s="2" t="s">
        <v>221</v>
      </c>
      <c r="B11" s="2" t="s">
        <v>268</v>
      </c>
      <c r="C11" s="2" t="s">
        <v>42</v>
      </c>
      <c r="D11" s="2" t="s">
        <v>255</v>
      </c>
      <c r="E11" s="2"/>
      <c r="F11" s="2"/>
      <c r="G11" s="1"/>
      <c r="H11" s="1"/>
      <c r="I11" s="1"/>
      <c r="J11" s="1"/>
      <c r="K11" s="1"/>
    </row>
    <row r="12" spans="1:11" ht="20" customHeight="1">
      <c r="A12" s="2" t="s">
        <v>221</v>
      </c>
      <c r="B12" s="2" t="s">
        <v>269</v>
      </c>
      <c r="C12" s="2" t="s">
        <v>42</v>
      </c>
      <c r="D12" s="2" t="s">
        <v>255</v>
      </c>
      <c r="E12" s="2"/>
      <c r="F12" s="2"/>
      <c r="G12" s="1"/>
      <c r="H12" s="1"/>
      <c r="I12" s="1"/>
      <c r="J12" s="1"/>
      <c r="K12" s="1"/>
    </row>
    <row r="13" spans="1:11" ht="20" customHeight="1">
      <c r="A13" s="2" t="s">
        <v>229</v>
      </c>
      <c r="B13" s="2" t="s">
        <v>270</v>
      </c>
      <c r="C13" s="2" t="s">
        <v>42</v>
      </c>
      <c r="D13" s="2" t="s">
        <v>255</v>
      </c>
      <c r="E13" s="2"/>
      <c r="F13" s="2"/>
      <c r="G13" s="1"/>
      <c r="H13" s="1"/>
      <c r="I13" s="1"/>
      <c r="J13" s="1"/>
      <c r="K13" s="1"/>
    </row>
    <row r="14" spans="1:11" ht="20" customHeight="1">
      <c r="A14" s="2" t="s">
        <v>7</v>
      </c>
      <c r="B14" s="2" t="s">
        <v>271</v>
      </c>
      <c r="C14" s="2" t="s">
        <v>42</v>
      </c>
      <c r="D14" s="2" t="s">
        <v>255</v>
      </c>
      <c r="E14" s="2"/>
      <c r="F14" s="2"/>
      <c r="G14" s="1"/>
      <c r="H14" s="1"/>
      <c r="I14" s="1"/>
      <c r="J14" s="1"/>
      <c r="K14" s="1"/>
    </row>
    <row r="15" spans="1:11" ht="20" customHeight="1">
      <c r="A15" s="2" t="s">
        <v>272</v>
      </c>
      <c r="B15" s="2" t="s">
        <v>273</v>
      </c>
      <c r="C15" s="2" t="s">
        <v>149</v>
      </c>
      <c r="D15" s="2" t="s">
        <v>255</v>
      </c>
      <c r="E15" s="2"/>
      <c r="F15" s="2"/>
      <c r="G15" s="1"/>
      <c r="H15" s="1"/>
      <c r="I15" s="1"/>
      <c r="J15" s="1"/>
      <c r="K15" s="1"/>
    </row>
    <row r="16" spans="1:11" ht="20" customHeight="1">
      <c r="A16" s="2"/>
      <c r="B16" s="2"/>
      <c r="C16" s="2"/>
      <c r="D16" s="2"/>
      <c r="E16" s="2"/>
      <c r="F16" s="2"/>
      <c r="G16" s="1"/>
      <c r="H16" s="1"/>
      <c r="I16" s="1"/>
      <c r="J16" s="1"/>
      <c r="K16" s="1"/>
    </row>
    <row r="17" spans="1:11" ht="20" customHeight="1">
      <c r="A17" s="2"/>
      <c r="B17" s="2"/>
      <c r="C17" s="2"/>
      <c r="D17" s="2"/>
      <c r="E17" s="2"/>
      <c r="F17" s="2"/>
      <c r="G17" s="1"/>
      <c r="H17" s="1"/>
      <c r="I17" s="1"/>
      <c r="J17" s="1"/>
      <c r="K17" s="1"/>
    </row>
    <row r="18" spans="1:11" ht="20" customHeight="1">
      <c r="A18" s="2"/>
      <c r="B18" s="2"/>
      <c r="C18" s="2"/>
      <c r="D18" s="2"/>
      <c r="E18" s="2"/>
      <c r="F18" s="2"/>
      <c r="G18" s="1"/>
      <c r="H18" s="1"/>
      <c r="I18" s="1"/>
      <c r="J18" s="1"/>
      <c r="K18" s="1"/>
    </row>
    <row r="19" spans="1:11" ht="20" customHeight="1">
      <c r="A19" s="2"/>
      <c r="B19" s="2"/>
      <c r="C19" s="2"/>
      <c r="D19" s="2"/>
      <c r="E19" s="2"/>
      <c r="F19" s="2"/>
      <c r="G19" s="1"/>
      <c r="H19" s="1"/>
      <c r="I19" s="1"/>
      <c r="J19" s="1"/>
      <c r="K19" s="1"/>
    </row>
    <row r="20" spans="1:11" ht="20" customHeight="1">
      <c r="A20" s="2"/>
      <c r="B20" s="2"/>
      <c r="C20" s="2"/>
      <c r="D20" s="2"/>
      <c r="E20" s="2"/>
      <c r="F20" s="2"/>
      <c r="G20" s="1"/>
      <c r="H20" s="1"/>
      <c r="I20" s="1"/>
      <c r="J20" s="1"/>
      <c r="K20" s="1"/>
    </row>
    <row r="21" spans="1:11" ht="20" customHeight="1">
      <c r="A21" s="2"/>
      <c r="B21" s="2"/>
      <c r="C21" s="2"/>
      <c r="D21" s="2"/>
      <c r="E21" s="2"/>
      <c r="F21" s="2"/>
      <c r="G21" s="1"/>
      <c r="H21" s="1"/>
      <c r="I21" s="1"/>
      <c r="J21" s="1"/>
      <c r="K21" s="1"/>
    </row>
    <row r="22" spans="1:11" ht="20" customHeight="1">
      <c r="A22" s="2"/>
      <c r="B22" s="2"/>
      <c r="C22" s="2"/>
      <c r="D22" s="2"/>
      <c r="E22" s="2"/>
      <c r="F22" s="2"/>
      <c r="G22" s="1"/>
      <c r="H22" s="1"/>
      <c r="I22" s="1"/>
      <c r="J22" s="1"/>
      <c r="K22" s="1"/>
    </row>
    <row r="23" spans="1:11" ht="20" customHeight="1">
      <c r="A23" s="2"/>
      <c r="B23" s="2"/>
      <c r="C23" s="2"/>
      <c r="D23" s="2"/>
      <c r="E23" s="2"/>
      <c r="F23" s="2"/>
      <c r="G23" s="1"/>
      <c r="H23" s="1"/>
      <c r="I23" s="1"/>
      <c r="J23" s="1"/>
      <c r="K23" s="1"/>
    </row>
    <row r="24" spans="1:11" ht="20" customHeight="1">
      <c r="A24" s="2"/>
      <c r="B24" s="2"/>
      <c r="C24" s="2"/>
      <c r="D24" s="2"/>
      <c r="E24" s="2"/>
      <c r="F24" s="2"/>
      <c r="G24" s="1"/>
      <c r="H24" s="1"/>
      <c r="I24" s="1"/>
      <c r="J24" s="1"/>
      <c r="K24" s="1"/>
    </row>
    <row r="25" spans="1:11" ht="20" customHeight="1">
      <c r="A25" s="2"/>
      <c r="B25" s="2"/>
      <c r="C25" s="2"/>
      <c r="D25" s="2"/>
      <c r="E25" s="2"/>
      <c r="F25" s="2"/>
      <c r="G25" s="1"/>
      <c r="H25" s="1"/>
      <c r="I25" s="1"/>
      <c r="J25" s="1"/>
      <c r="K25" s="1"/>
    </row>
    <row r="26" spans="1:11" ht="20" customHeight="1">
      <c r="A26" s="2"/>
      <c r="B26" s="2"/>
      <c r="C26" s="2"/>
      <c r="D26" s="2"/>
      <c r="E26" s="2"/>
      <c r="F26" s="2"/>
      <c r="G26" s="1"/>
      <c r="H26" s="1"/>
      <c r="I26" s="1"/>
      <c r="J26" s="1"/>
      <c r="K26" s="1"/>
    </row>
    <row r="27" spans="1:11" ht="20" customHeight="1">
      <c r="A27" s="2"/>
      <c r="B27" s="2"/>
      <c r="C27" s="2"/>
      <c r="D27" s="2"/>
      <c r="E27" s="2"/>
      <c r="F27" s="2"/>
      <c r="G27" s="1"/>
      <c r="H27" s="1"/>
      <c r="I27" s="1"/>
      <c r="J27" s="1"/>
      <c r="K27" s="1"/>
    </row>
    <row r="28" spans="1:11" ht="20" customHeight="1">
      <c r="A28" s="2"/>
      <c r="B28" s="2"/>
      <c r="C28" s="2"/>
      <c r="D28" s="2"/>
      <c r="E28" s="2"/>
      <c r="F28" s="2"/>
      <c r="G28" s="1"/>
      <c r="H28" s="1"/>
      <c r="I28" s="1"/>
      <c r="J28" s="1"/>
      <c r="K28" s="1"/>
    </row>
    <row r="29" spans="1:11" ht="20" customHeight="1">
      <c r="A29" s="2"/>
      <c r="B29" s="2"/>
      <c r="C29" s="2"/>
      <c r="D29" s="2"/>
      <c r="E29" s="2"/>
      <c r="F29" s="2"/>
      <c r="G29" s="1"/>
      <c r="H29" s="1"/>
      <c r="I29" s="1"/>
      <c r="J29" s="1"/>
      <c r="K29" s="1"/>
    </row>
    <row r="30" spans="1:11" ht="20" customHeight="1">
      <c r="A30" s="2"/>
      <c r="B30" s="2"/>
      <c r="C30" s="2"/>
      <c r="D30" s="2"/>
      <c r="E30" s="2"/>
      <c r="F30" s="2"/>
      <c r="G30" s="1"/>
      <c r="H30" s="1"/>
      <c r="I30" s="1"/>
      <c r="J30" s="1"/>
      <c r="K30" s="1"/>
    </row>
    <row r="31" spans="1:11" ht="20" customHeight="1">
      <c r="A31" s="2"/>
      <c r="B31" s="2"/>
      <c r="C31" s="2"/>
      <c r="D31" s="2"/>
      <c r="E31" s="2"/>
      <c r="F31" s="2"/>
      <c r="G31" s="1"/>
      <c r="H31" s="1"/>
      <c r="I31" s="1"/>
      <c r="J31" s="1"/>
      <c r="K31" s="1"/>
    </row>
    <row r="32" spans="1:11" ht="20" customHeight="1">
      <c r="A32" s="2"/>
      <c r="B32" s="2"/>
      <c r="C32" s="2"/>
      <c r="D32" s="2"/>
      <c r="E32" s="2"/>
      <c r="F32" s="2"/>
      <c r="G32" s="1"/>
      <c r="H32" s="1"/>
      <c r="I32" s="1"/>
      <c r="J32" s="1"/>
      <c r="K32" s="1"/>
    </row>
    <row r="33" spans="1:11" ht="20" customHeight="1">
      <c r="A33" s="2"/>
      <c r="B33" s="2"/>
      <c r="C33" s="2"/>
      <c r="D33" s="2"/>
      <c r="E33" s="2"/>
      <c r="F33" s="2"/>
      <c r="G33" s="1"/>
      <c r="H33" s="1"/>
      <c r="I33" s="1"/>
      <c r="J33" s="1"/>
      <c r="K33" s="1"/>
    </row>
    <row r="34" spans="1:11" ht="20" customHeight="1">
      <c r="A34" s="2"/>
      <c r="B34" s="2"/>
      <c r="C34" s="2"/>
      <c r="D34" s="2"/>
      <c r="E34" s="2"/>
      <c r="F34" s="2"/>
      <c r="G34" s="1"/>
      <c r="H34" s="1"/>
      <c r="I34" s="1"/>
      <c r="J34" s="1"/>
      <c r="K34" s="1"/>
    </row>
    <row r="35" spans="1:11" ht="20" customHeight="1">
      <c r="A35" s="2"/>
      <c r="B35" s="2"/>
      <c r="C35" s="2"/>
      <c r="D35" s="2"/>
      <c r="E35" s="2"/>
      <c r="F35" s="2"/>
      <c r="G35" s="1"/>
      <c r="H35" s="1"/>
      <c r="I35" s="1"/>
      <c r="J35" s="1"/>
      <c r="K35" s="1"/>
    </row>
    <row r="36" spans="1:11" ht="20" customHeight="1">
      <c r="A36" s="2"/>
      <c r="B36" s="2"/>
      <c r="C36" s="2"/>
      <c r="D36" s="2"/>
      <c r="E36" s="2"/>
      <c r="F36" s="2"/>
      <c r="G36" s="1"/>
      <c r="H36" s="1"/>
      <c r="I36" s="1"/>
      <c r="J36" s="1"/>
      <c r="K36" s="1"/>
    </row>
    <row r="37" spans="1:11" ht="20" customHeight="1">
      <c r="A37" s="2"/>
      <c r="B37" s="2"/>
      <c r="C37" s="2"/>
      <c r="D37" s="2"/>
      <c r="E37" s="2"/>
      <c r="F37" s="2"/>
      <c r="G37" s="1"/>
      <c r="H37" s="1"/>
      <c r="I37" s="1"/>
      <c r="J37" s="1"/>
      <c r="K37" s="1"/>
    </row>
    <row r="38" spans="1:11" ht="20" customHeight="1">
      <c r="A38" s="2"/>
      <c r="B38" s="2"/>
      <c r="C38" s="2"/>
      <c r="D38" s="2"/>
      <c r="E38" s="2"/>
      <c r="F38" s="2"/>
      <c r="G38" s="1"/>
      <c r="H38" s="1"/>
      <c r="I38" s="1"/>
      <c r="J38" s="1"/>
      <c r="K38" s="1"/>
    </row>
    <row r="39" spans="1:11" ht="20" customHeight="1">
      <c r="A39" s="2"/>
      <c r="B39" s="2"/>
      <c r="C39" s="2"/>
      <c r="D39" s="2"/>
      <c r="E39" s="2"/>
      <c r="F39" s="2"/>
      <c r="G39" s="1"/>
      <c r="H39" s="1"/>
      <c r="I39" s="1"/>
      <c r="J39" s="1"/>
      <c r="K39" s="1"/>
    </row>
    <row r="40" spans="1:11" ht="20" customHeight="1">
      <c r="A40" s="2"/>
      <c r="B40" s="2"/>
      <c r="C40" s="2"/>
      <c r="D40" s="2"/>
      <c r="E40" s="2"/>
      <c r="F40" s="2"/>
      <c r="G40" s="1"/>
      <c r="H40" s="1"/>
      <c r="I40" s="1"/>
      <c r="J40" s="1"/>
      <c r="K40" s="1"/>
    </row>
    <row r="41" spans="1:11" ht="20" customHeight="1">
      <c r="A41" s="2"/>
      <c r="B41" s="2"/>
      <c r="C41" s="2"/>
      <c r="D41" s="2"/>
      <c r="E41" s="2"/>
      <c r="F41" s="2"/>
      <c r="G41" s="1"/>
      <c r="H41" s="1"/>
      <c r="I41" s="1"/>
      <c r="J41" s="1"/>
      <c r="K41" s="1"/>
    </row>
    <row r="42" spans="1:11" ht="20" customHeight="1">
      <c r="A42" s="2"/>
      <c r="B42" s="2"/>
      <c r="C42" s="2"/>
      <c r="D42" s="2"/>
      <c r="E42" s="2"/>
      <c r="F42" s="2"/>
      <c r="G42" s="1"/>
      <c r="H42" s="1"/>
      <c r="I42" s="1"/>
      <c r="J42" s="1"/>
      <c r="K42" s="1"/>
    </row>
    <row r="43" spans="1:11" ht="20" customHeight="1">
      <c r="A43" s="2"/>
      <c r="B43" s="2"/>
      <c r="C43" s="2"/>
      <c r="D43" s="2"/>
      <c r="E43" s="2"/>
      <c r="F43" s="2"/>
      <c r="G43" s="1"/>
      <c r="H43" s="1"/>
      <c r="I43" s="1"/>
      <c r="J43" s="1"/>
      <c r="K43" s="1"/>
    </row>
    <row r="44" spans="1:11" ht="20" customHeight="1">
      <c r="A44" s="2"/>
      <c r="B44" s="2"/>
      <c r="C44" s="2"/>
      <c r="D44" s="2"/>
      <c r="E44" s="2"/>
      <c r="F44" s="2"/>
      <c r="G44" s="1"/>
      <c r="H44" s="1"/>
      <c r="I44" s="1"/>
      <c r="J44" s="1"/>
      <c r="K44" s="1"/>
    </row>
    <row r="45" spans="1:11" ht="20" customHeight="1">
      <c r="A45" s="2"/>
      <c r="B45" s="2"/>
      <c r="C45" s="2"/>
      <c r="D45" s="2"/>
      <c r="E45" s="2"/>
      <c r="F45" s="2"/>
      <c r="G45" s="1"/>
      <c r="H45" s="1"/>
      <c r="I45" s="1"/>
      <c r="J45" s="1"/>
      <c r="K45" s="1"/>
    </row>
    <row r="46" spans="1:11" ht="20" customHeight="1">
      <c r="A46" s="2"/>
      <c r="B46" s="2"/>
      <c r="C46" s="2"/>
      <c r="D46" s="2"/>
      <c r="E46" s="2"/>
      <c r="F46" s="2"/>
      <c r="G46" s="1"/>
      <c r="H46" s="1"/>
      <c r="I46" s="1"/>
      <c r="J46" s="1"/>
      <c r="K46" s="1"/>
    </row>
    <row r="47" spans="1:11" ht="20" customHeight="1">
      <c r="A47" s="2"/>
      <c r="B47" s="2"/>
      <c r="C47" s="2"/>
      <c r="D47" s="2"/>
      <c r="E47" s="2"/>
      <c r="F47" s="2"/>
      <c r="G47" s="1"/>
      <c r="H47" s="1"/>
      <c r="I47" s="1"/>
      <c r="J47" s="1"/>
      <c r="K47" s="1"/>
    </row>
    <row r="48" spans="1:11" ht="20" customHeight="1">
      <c r="A48" s="2"/>
      <c r="B48" s="2"/>
      <c r="C48" s="2"/>
      <c r="D48" s="2"/>
      <c r="E48" s="2"/>
      <c r="F48" s="2"/>
      <c r="G48" s="1"/>
      <c r="H48" s="1"/>
      <c r="I48" s="1"/>
      <c r="J48" s="1"/>
      <c r="K48" s="1"/>
    </row>
    <row r="49" spans="1:11" ht="20" customHeight="1">
      <c r="A49" s="2"/>
      <c r="B49" s="2"/>
      <c r="C49" s="2"/>
      <c r="D49" s="2"/>
      <c r="E49" s="2"/>
      <c r="F49" s="2"/>
      <c r="G49" s="1"/>
      <c r="H49" s="1"/>
      <c r="I49" s="1"/>
      <c r="J49" s="1"/>
      <c r="K49" s="1"/>
    </row>
    <row r="50" spans="1:11" ht="20" customHeight="1">
      <c r="A50" s="2"/>
      <c r="B50" s="2"/>
      <c r="C50" s="2"/>
      <c r="D50" s="2"/>
      <c r="E50" s="2"/>
      <c r="F50" s="2"/>
      <c r="G50" s="1"/>
      <c r="H50" s="1"/>
      <c r="I50" s="1"/>
      <c r="J50" s="1"/>
      <c r="K50" s="1"/>
    </row>
    <row r="51" spans="1:11" ht="20" customHeight="1">
      <c r="A51" s="2"/>
      <c r="B51" s="2"/>
      <c r="C51" s="2"/>
      <c r="D51" s="2"/>
      <c r="E51" s="2"/>
      <c r="F51" s="2"/>
      <c r="G51" s="1"/>
      <c r="H51" s="1"/>
      <c r="I51" s="1"/>
      <c r="J51" s="1"/>
      <c r="K51" s="1"/>
    </row>
    <row r="52" spans="1:11" ht="20" customHeight="1">
      <c r="A52" s="2"/>
      <c r="B52" s="2"/>
      <c r="C52" s="2"/>
      <c r="D52" s="2"/>
      <c r="E52" s="2"/>
      <c r="F52" s="2"/>
      <c r="G52" s="1"/>
      <c r="H52" s="1"/>
      <c r="I52" s="1"/>
      <c r="J52" s="1"/>
      <c r="K52" s="1"/>
    </row>
    <row r="53" spans="1:11" ht="20" customHeight="1">
      <c r="A53" s="2"/>
      <c r="B53" s="2"/>
      <c r="C53" s="2"/>
      <c r="D53" s="2"/>
      <c r="E53" s="2"/>
      <c r="F53" s="2"/>
      <c r="G53" s="1"/>
      <c r="H53" s="1"/>
      <c r="I53" s="1"/>
      <c r="J53" s="1"/>
      <c r="K53" s="1"/>
    </row>
    <row r="54" spans="1:11" ht="20" customHeight="1">
      <c r="A54" s="2"/>
      <c r="B54" s="2"/>
      <c r="C54" s="2"/>
      <c r="D54" s="2"/>
      <c r="E54" s="2"/>
      <c r="F54" s="2"/>
      <c r="G54" s="1"/>
      <c r="H54" s="1"/>
      <c r="I54" s="1"/>
      <c r="J54" s="1"/>
      <c r="K54" s="1"/>
    </row>
    <row r="55" spans="1:11" ht="20" customHeight="1">
      <c r="A55" s="2"/>
      <c r="B55" s="2"/>
      <c r="C55" s="2"/>
      <c r="D55" s="2"/>
      <c r="E55" s="2"/>
      <c r="F55" s="2"/>
      <c r="G55" s="1"/>
      <c r="H55" s="1"/>
      <c r="I55" s="1"/>
      <c r="J55" s="1"/>
      <c r="K55" s="1"/>
    </row>
    <row r="56" spans="1:11" ht="20" customHeight="1">
      <c r="A56" s="2"/>
      <c r="B56" s="2"/>
      <c r="C56" s="2"/>
      <c r="D56" s="2"/>
      <c r="E56" s="2"/>
      <c r="F56" s="2"/>
      <c r="G56" s="1"/>
      <c r="H56" s="1"/>
      <c r="I56" s="1"/>
      <c r="J56" s="1"/>
      <c r="K56" s="1"/>
    </row>
    <row r="57" spans="1:11" ht="20" customHeight="1">
      <c r="A57" s="2"/>
      <c r="B57" s="2"/>
      <c r="C57" s="2"/>
      <c r="D57" s="2"/>
      <c r="E57" s="2"/>
      <c r="F57" s="2"/>
      <c r="G57" s="1"/>
      <c r="H57" s="1"/>
      <c r="I57" s="1"/>
      <c r="J57" s="1"/>
      <c r="K57" s="1"/>
    </row>
    <row r="58" spans="1:11" ht="20" customHeight="1">
      <c r="A58" s="2"/>
      <c r="B58" s="2"/>
      <c r="C58" s="2"/>
      <c r="D58" s="2"/>
      <c r="E58" s="2"/>
      <c r="F58" s="2"/>
      <c r="G58" s="1"/>
      <c r="H58" s="1"/>
      <c r="I58" s="1"/>
      <c r="J58" s="1"/>
      <c r="K58" s="1"/>
    </row>
    <row r="59" spans="1:11" ht="20" customHeight="1">
      <c r="A59" s="2"/>
      <c r="B59" s="2"/>
      <c r="C59" s="2"/>
      <c r="D59" s="2"/>
      <c r="E59" s="2"/>
      <c r="F59" s="2"/>
      <c r="G59" s="1"/>
      <c r="H59" s="1"/>
      <c r="I59" s="1"/>
      <c r="J59" s="1"/>
      <c r="K59" s="1"/>
    </row>
    <row r="60" spans="1:11" ht="20" customHeight="1">
      <c r="A60" s="2"/>
      <c r="B60" s="2"/>
      <c r="C60" s="2"/>
      <c r="D60" s="2"/>
      <c r="E60" s="2"/>
      <c r="F60" s="2"/>
      <c r="G60" s="1"/>
      <c r="H60" s="1"/>
      <c r="I60" s="1"/>
      <c r="J60" s="1"/>
      <c r="K60" s="1"/>
    </row>
    <row r="61" spans="1:11" ht="20" customHeight="1">
      <c r="A61" s="2"/>
      <c r="B61" s="2"/>
      <c r="C61" s="2"/>
      <c r="D61" s="2"/>
      <c r="E61" s="2"/>
      <c r="F61" s="2"/>
      <c r="G61" s="1"/>
      <c r="H61" s="1"/>
      <c r="I61" s="1"/>
      <c r="J61" s="1"/>
      <c r="K61" s="1"/>
    </row>
    <row r="62" spans="1:11" ht="20" customHeight="1">
      <c r="A62" s="2"/>
      <c r="B62" s="2"/>
      <c r="C62" s="2"/>
      <c r="D62" s="2"/>
      <c r="E62" s="2"/>
      <c r="F62" s="2"/>
      <c r="G62" s="1"/>
      <c r="H62" s="1"/>
      <c r="I62" s="1"/>
      <c r="J62" s="1"/>
      <c r="K62" s="1"/>
    </row>
    <row r="63" spans="1:11" ht="20" customHeight="1">
      <c r="A63" s="2"/>
      <c r="B63" s="2"/>
      <c r="C63" s="2"/>
      <c r="D63" s="2"/>
      <c r="E63" s="2"/>
      <c r="F63" s="2"/>
      <c r="G63" s="1"/>
      <c r="H63" s="1"/>
      <c r="I63" s="1"/>
      <c r="J63" s="1"/>
      <c r="K63" s="1"/>
    </row>
    <row r="64" spans="1:11" ht="20" customHeight="1">
      <c r="A64" s="2"/>
      <c r="B64" s="2"/>
      <c r="C64" s="2"/>
      <c r="D64" s="2"/>
      <c r="E64" s="2"/>
      <c r="F64" s="2"/>
      <c r="G64" s="1"/>
      <c r="H64" s="1"/>
      <c r="I64" s="1"/>
      <c r="J64" s="1"/>
      <c r="K64" s="1"/>
    </row>
    <row r="65" spans="1:11" ht="20" customHeight="1">
      <c r="A65" s="2"/>
      <c r="B65" s="2"/>
      <c r="C65" s="2"/>
      <c r="D65" s="2"/>
      <c r="E65" s="2"/>
      <c r="F65" s="2"/>
      <c r="G65" s="1"/>
      <c r="H65" s="1"/>
      <c r="I65" s="1"/>
      <c r="J65" s="1"/>
      <c r="K65" s="1"/>
    </row>
    <row r="66" spans="1:11" ht="20" customHeight="1">
      <c r="A66" s="2"/>
      <c r="B66" s="2"/>
      <c r="C66" s="2"/>
      <c r="D66" s="2"/>
      <c r="E66" s="2"/>
      <c r="F66" s="2"/>
      <c r="G66" s="1"/>
      <c r="H66" s="1"/>
      <c r="I66" s="1"/>
      <c r="J66" s="1"/>
      <c r="K66" s="1"/>
    </row>
    <row r="67" spans="1:11" ht="20" customHeight="1">
      <c r="A67" s="2"/>
      <c r="B67" s="2"/>
      <c r="C67" s="2"/>
      <c r="D67" s="2"/>
      <c r="E67" s="2"/>
      <c r="F67" s="2"/>
      <c r="G67" s="1"/>
      <c r="H67" s="1"/>
      <c r="I67" s="1"/>
      <c r="J67" s="1"/>
      <c r="K67" s="1"/>
    </row>
    <row r="68" spans="1:11" ht="20" customHeight="1">
      <c r="A68" s="2"/>
      <c r="B68" s="2"/>
      <c r="C68" s="2"/>
      <c r="D68" s="2"/>
      <c r="E68" s="2"/>
      <c r="F68" s="2"/>
      <c r="G68" s="1"/>
      <c r="H68" s="1"/>
      <c r="I68" s="1"/>
      <c r="J68" s="1"/>
      <c r="K68" s="1"/>
    </row>
    <row r="69" spans="1:11" ht="20" customHeight="1">
      <c r="A69" s="2"/>
      <c r="B69" s="2"/>
      <c r="C69" s="2"/>
      <c r="D69" s="2"/>
      <c r="E69" s="2"/>
      <c r="F69" s="2"/>
      <c r="G69" s="1"/>
      <c r="H69" s="1"/>
      <c r="I69" s="1"/>
      <c r="J69" s="1"/>
      <c r="K69" s="1"/>
    </row>
    <row r="70" spans="1:11" ht="20" customHeight="1">
      <c r="A70" s="2"/>
      <c r="B70" s="2"/>
      <c r="C70" s="2"/>
      <c r="D70" s="2"/>
      <c r="E70" s="2"/>
      <c r="F70" s="2"/>
      <c r="G70" s="1"/>
      <c r="H70" s="1"/>
      <c r="I70" s="1"/>
      <c r="J70" s="1"/>
      <c r="K70" s="1"/>
    </row>
    <row r="71" spans="1:11" ht="20" customHeight="1">
      <c r="A71" s="2"/>
      <c r="B71" s="2"/>
      <c r="C71" s="2"/>
      <c r="D71" s="2"/>
      <c r="E71" s="2"/>
      <c r="F71" s="2"/>
      <c r="G71" s="1"/>
      <c r="H71" s="1"/>
      <c r="I71" s="1"/>
      <c r="J71" s="1"/>
      <c r="K71" s="1"/>
    </row>
    <row r="72" spans="1:11" ht="20" customHeight="1">
      <c r="A72" s="2"/>
      <c r="B72" s="2"/>
      <c r="C72" s="2"/>
      <c r="D72" s="2"/>
      <c r="E72" s="2"/>
      <c r="F72" s="2"/>
      <c r="G72" s="1"/>
      <c r="H72" s="1"/>
      <c r="I72" s="1"/>
      <c r="J72" s="1"/>
      <c r="K72" s="1"/>
    </row>
    <row r="73" spans="1:11" ht="20" customHeight="1">
      <c r="A73" s="2"/>
      <c r="B73" s="2"/>
      <c r="C73" s="2"/>
      <c r="D73" s="2"/>
      <c r="E73" s="2"/>
      <c r="F73" s="2"/>
      <c r="G73" s="1"/>
      <c r="H73" s="1"/>
      <c r="I73" s="1"/>
      <c r="J73" s="1"/>
      <c r="K73" s="1"/>
    </row>
    <row r="74" spans="1:11" ht="20" customHeight="1">
      <c r="A74" s="2"/>
      <c r="B74" s="2"/>
      <c r="C74" s="2"/>
      <c r="D74" s="2"/>
      <c r="E74" s="2"/>
      <c r="F74" s="2"/>
      <c r="G74" s="1"/>
      <c r="H74" s="1"/>
      <c r="I74" s="1"/>
      <c r="J74" s="1"/>
      <c r="K74" s="1"/>
    </row>
    <row r="75" spans="1:11" ht="20" customHeight="1">
      <c r="A75" s="2"/>
      <c r="B75" s="2"/>
      <c r="C75" s="2"/>
      <c r="D75" s="2"/>
      <c r="E75" s="2"/>
      <c r="F75" s="2"/>
      <c r="G75" s="1"/>
      <c r="H75" s="1"/>
      <c r="I75" s="1"/>
      <c r="J75" s="1"/>
      <c r="K75" s="1"/>
    </row>
    <row r="76" spans="1:11" ht="20" customHeight="1">
      <c r="A76" s="2"/>
      <c r="B76" s="2"/>
      <c r="C76" s="2"/>
      <c r="D76" s="2"/>
      <c r="E76" s="2"/>
      <c r="F76" s="2"/>
      <c r="G76" s="1"/>
      <c r="H76" s="1"/>
      <c r="I76" s="1"/>
      <c r="J76" s="1"/>
      <c r="K76" s="1"/>
    </row>
    <row r="77" spans="1:11" ht="20" customHeight="1">
      <c r="A77" s="2"/>
      <c r="B77" s="2"/>
      <c r="C77" s="2"/>
      <c r="D77" s="2"/>
      <c r="E77" s="2"/>
      <c r="F77" s="2"/>
      <c r="G77" s="1"/>
      <c r="H77" s="1"/>
      <c r="I77" s="1"/>
      <c r="J77" s="1"/>
      <c r="K77" s="1"/>
    </row>
    <row r="78" spans="1:11" ht="20" customHeight="1">
      <c r="A78" s="2"/>
      <c r="B78" s="2"/>
      <c r="C78" s="2"/>
      <c r="D78" s="2"/>
      <c r="E78" s="2"/>
      <c r="F78" s="2"/>
      <c r="G78" s="1"/>
      <c r="H78" s="1"/>
      <c r="I78" s="1"/>
      <c r="J78" s="1"/>
      <c r="K78" s="1"/>
    </row>
    <row r="79" spans="1:11" ht="20" customHeight="1">
      <c r="A79" s="2"/>
      <c r="B79" s="2"/>
      <c r="C79" s="2"/>
      <c r="D79" s="2"/>
      <c r="E79" s="2"/>
      <c r="F79" s="2"/>
      <c r="G79" s="1"/>
      <c r="H79" s="1"/>
      <c r="I79" s="1"/>
      <c r="J79" s="1"/>
      <c r="K79" s="1"/>
    </row>
    <row r="80" spans="1:11" ht="20" customHeight="1">
      <c r="A80" s="2"/>
      <c r="B80" s="2"/>
      <c r="C80" s="2"/>
      <c r="D80" s="2"/>
      <c r="E80" s="2"/>
      <c r="F80" s="2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2">
    <dataValidation type="list" allowBlank="1" sqref="C2:C100" xr:uid="{00000000-0002-0000-0400-000000000000}">
      <formula1>"Must,Should,Could,Won't"</formula1>
    </dataValidation>
    <dataValidation type="list" allowBlank="1" sqref="D2:D100" xr:uid="{00000000-0002-0000-0400-000001000000}">
      <formula1>"Not Started,In Progress,Done,Blocked,Deferred,N/A"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0"/>
  <sheetViews>
    <sheetView zoomScale="120" zoomScaleNormal="120" workbookViewId="0">
      <selection activeCell="B21" sqref="B21"/>
    </sheetView>
  </sheetViews>
  <sheetFormatPr baseColWidth="10" defaultColWidth="8.83203125" defaultRowHeight="15"/>
  <cols>
    <col min="1" max="1" width="6.83203125" customWidth="1"/>
    <col min="2" max="2" width="35.5" customWidth="1"/>
    <col min="3" max="3" width="14.83203125" customWidth="1"/>
    <col min="4" max="4" width="19.5" customWidth="1"/>
    <col min="5" max="5" width="10" customWidth="1"/>
    <col min="6" max="6" width="39.5" customWidth="1"/>
    <col min="7" max="7" width="13" customWidth="1"/>
    <col min="8" max="8" width="8" customWidth="1"/>
    <col min="9" max="9" width="17" customWidth="1"/>
  </cols>
  <sheetData>
    <row r="1" spans="1:11" ht="25.5" customHeight="1">
      <c r="A1" s="15" t="s">
        <v>28</v>
      </c>
      <c r="B1" s="15" t="s">
        <v>274</v>
      </c>
      <c r="C1" s="15" t="s">
        <v>275</v>
      </c>
      <c r="D1" s="15" t="s">
        <v>276</v>
      </c>
      <c r="E1" s="15" t="s">
        <v>277</v>
      </c>
      <c r="F1" s="15" t="s">
        <v>278</v>
      </c>
      <c r="G1" s="15" t="s">
        <v>34</v>
      </c>
      <c r="H1" s="15" t="s">
        <v>6</v>
      </c>
      <c r="I1" s="15" t="s">
        <v>279</v>
      </c>
      <c r="J1" s="1"/>
      <c r="K1" s="1"/>
    </row>
    <row r="2" spans="1:11" ht="20" customHeight="1">
      <c r="A2" s="2" t="s">
        <v>280</v>
      </c>
      <c r="B2" s="2" t="s">
        <v>281</v>
      </c>
      <c r="C2" s="2">
        <v>4</v>
      </c>
      <c r="D2" s="2">
        <v>4</v>
      </c>
      <c r="E2" s="2">
        <f t="shared" ref="E2:E8" si="0">C2*D2</f>
        <v>16</v>
      </c>
      <c r="F2" s="2" t="s">
        <v>282</v>
      </c>
      <c r="G2" s="2" t="s">
        <v>283</v>
      </c>
      <c r="H2" s="2" t="s">
        <v>284</v>
      </c>
      <c r="I2" s="2"/>
      <c r="J2" s="1"/>
      <c r="K2" s="1"/>
    </row>
    <row r="3" spans="1:11" ht="20" customHeight="1">
      <c r="A3" s="2" t="s">
        <v>285</v>
      </c>
      <c r="B3" s="2" t="s">
        <v>286</v>
      </c>
      <c r="C3" s="2">
        <v>4</v>
      </c>
      <c r="D3" s="2">
        <v>3</v>
      </c>
      <c r="E3" s="2">
        <f t="shared" si="0"/>
        <v>12</v>
      </c>
      <c r="F3" s="2" t="s">
        <v>287</v>
      </c>
      <c r="G3" s="2" t="s">
        <v>45</v>
      </c>
      <c r="H3" s="2" t="s">
        <v>284</v>
      </c>
      <c r="I3" s="2"/>
      <c r="J3" s="1"/>
      <c r="K3" s="1"/>
    </row>
    <row r="4" spans="1:11" ht="20" customHeight="1">
      <c r="A4" s="2" t="s">
        <v>288</v>
      </c>
      <c r="B4" s="2" t="s">
        <v>289</v>
      </c>
      <c r="C4" s="2">
        <v>5</v>
      </c>
      <c r="D4" s="2">
        <v>3</v>
      </c>
      <c r="E4" s="2">
        <f t="shared" si="0"/>
        <v>15</v>
      </c>
      <c r="F4" s="2" t="s">
        <v>290</v>
      </c>
      <c r="G4" s="2" t="s">
        <v>45</v>
      </c>
      <c r="H4" s="2" t="s">
        <v>284</v>
      </c>
      <c r="I4" s="2"/>
      <c r="J4" s="1"/>
      <c r="K4" s="1"/>
    </row>
    <row r="5" spans="1:11" ht="20" customHeight="1">
      <c r="A5" s="2" t="s">
        <v>291</v>
      </c>
      <c r="B5" s="2" t="s">
        <v>292</v>
      </c>
      <c r="C5" s="2">
        <v>3</v>
      </c>
      <c r="D5" s="2">
        <v>3</v>
      </c>
      <c r="E5" s="2">
        <f t="shared" si="0"/>
        <v>9</v>
      </c>
      <c r="F5" s="2" t="s">
        <v>293</v>
      </c>
      <c r="G5" s="2" t="s">
        <v>45</v>
      </c>
      <c r="H5" s="2" t="s">
        <v>284</v>
      </c>
      <c r="I5" s="2"/>
      <c r="J5" s="1"/>
      <c r="K5" s="1"/>
    </row>
    <row r="6" spans="1:11" ht="20" customHeight="1">
      <c r="A6" s="2" t="s">
        <v>294</v>
      </c>
      <c r="B6" s="2" t="s">
        <v>295</v>
      </c>
      <c r="C6" s="2">
        <v>5</v>
      </c>
      <c r="D6" s="2">
        <v>2</v>
      </c>
      <c r="E6" s="2">
        <f t="shared" si="0"/>
        <v>10</v>
      </c>
      <c r="F6" s="2" t="s">
        <v>296</v>
      </c>
      <c r="G6" s="2" t="s">
        <v>45</v>
      </c>
      <c r="H6" s="2" t="s">
        <v>284</v>
      </c>
      <c r="I6" s="2"/>
      <c r="J6" s="1"/>
      <c r="K6" s="1"/>
    </row>
    <row r="7" spans="1:11" ht="20" customHeight="1">
      <c r="A7" s="2" t="s">
        <v>297</v>
      </c>
      <c r="B7" s="2" t="s">
        <v>298</v>
      </c>
      <c r="C7" s="2">
        <v>3</v>
      </c>
      <c r="D7" s="2">
        <v>4</v>
      </c>
      <c r="E7" s="2">
        <f t="shared" si="0"/>
        <v>12</v>
      </c>
      <c r="F7" s="2" t="s">
        <v>299</v>
      </c>
      <c r="G7" s="2" t="s">
        <v>283</v>
      </c>
      <c r="H7" s="2" t="s">
        <v>284</v>
      </c>
      <c r="I7" s="2"/>
      <c r="J7" s="1"/>
      <c r="K7" s="1"/>
    </row>
    <row r="8" spans="1:11" ht="20" customHeight="1">
      <c r="A8" s="2" t="s">
        <v>300</v>
      </c>
      <c r="B8" s="2" t="s">
        <v>301</v>
      </c>
      <c r="C8" s="2">
        <v>5</v>
      </c>
      <c r="D8" s="2">
        <v>3</v>
      </c>
      <c r="E8" s="2">
        <f t="shared" si="0"/>
        <v>15</v>
      </c>
      <c r="F8" s="2" t="s">
        <v>302</v>
      </c>
      <c r="G8" s="2" t="s">
        <v>172</v>
      </c>
      <c r="H8" s="2" t="s">
        <v>284</v>
      </c>
      <c r="I8" s="2"/>
      <c r="J8" s="1"/>
      <c r="K8" s="1"/>
    </row>
    <row r="9" spans="1:11" ht="20" customHeight="1">
      <c r="A9" s="2"/>
      <c r="B9" s="2"/>
      <c r="C9" s="2"/>
      <c r="D9" s="2"/>
      <c r="E9" s="2"/>
      <c r="F9" s="2"/>
      <c r="G9" s="2"/>
      <c r="H9" s="2"/>
      <c r="I9" s="2"/>
      <c r="J9" s="1"/>
      <c r="K9" s="1"/>
    </row>
    <row r="10" spans="1:11" ht="20" customHeight="1">
      <c r="A10" s="2"/>
      <c r="B10" s="2"/>
      <c r="C10" s="2"/>
      <c r="D10" s="2"/>
      <c r="E10" s="2"/>
      <c r="F10" s="2"/>
      <c r="G10" s="2"/>
      <c r="H10" s="2"/>
      <c r="I10" s="2"/>
      <c r="J10" s="1"/>
      <c r="K10" s="1"/>
    </row>
    <row r="11" spans="1:11" ht="20" customHeight="1">
      <c r="A11" s="2"/>
      <c r="B11" s="2"/>
      <c r="C11" s="2"/>
      <c r="D11" s="2"/>
      <c r="E11" s="2"/>
      <c r="F11" s="2"/>
      <c r="G11" s="2"/>
      <c r="H11" s="2"/>
      <c r="I11" s="2"/>
      <c r="J11" s="1"/>
      <c r="K11" s="1"/>
    </row>
    <row r="12" spans="1:11" ht="20" customHeight="1">
      <c r="A12" s="2"/>
      <c r="B12" s="2"/>
      <c r="C12" s="2"/>
      <c r="D12" s="2"/>
      <c r="E12" s="2"/>
      <c r="F12" s="2"/>
      <c r="G12" s="2"/>
      <c r="H12" s="2"/>
      <c r="I12" s="2"/>
      <c r="J12" s="1"/>
      <c r="K12" s="1"/>
    </row>
    <row r="13" spans="1:11" ht="20" customHeight="1">
      <c r="A13" s="2"/>
      <c r="B13" s="2"/>
      <c r="C13" s="2"/>
      <c r="D13" s="2"/>
      <c r="E13" s="2"/>
      <c r="F13" s="2"/>
      <c r="G13" s="2"/>
      <c r="H13" s="2"/>
      <c r="I13" s="2"/>
      <c r="J13" s="1"/>
      <c r="K13" s="1"/>
    </row>
    <row r="14" spans="1:11" ht="20" customHeight="1">
      <c r="A14" s="2"/>
      <c r="B14" s="2"/>
      <c r="C14" s="2"/>
      <c r="D14" s="2"/>
      <c r="E14" s="2"/>
      <c r="F14" s="2"/>
      <c r="G14" s="2"/>
      <c r="H14" s="2"/>
      <c r="I14" s="2"/>
      <c r="J14" s="1"/>
      <c r="K14" s="1"/>
    </row>
    <row r="15" spans="1:11" ht="20" customHeight="1">
      <c r="A15" s="2"/>
      <c r="B15" s="2"/>
      <c r="C15" s="2"/>
      <c r="D15" s="2"/>
      <c r="E15" s="2"/>
      <c r="F15" s="2"/>
      <c r="G15" s="2"/>
      <c r="H15" s="2"/>
      <c r="I15" s="2"/>
      <c r="J15" s="1"/>
      <c r="K15" s="1"/>
    </row>
    <row r="16" spans="1:11" ht="20" customHeight="1">
      <c r="A16" s="2"/>
      <c r="B16" s="2"/>
      <c r="C16" s="2"/>
      <c r="D16" s="2"/>
      <c r="E16" s="2"/>
      <c r="F16" s="2"/>
      <c r="G16" s="2"/>
      <c r="H16" s="2"/>
      <c r="I16" s="2"/>
      <c r="J16" s="1"/>
      <c r="K16" s="1"/>
    </row>
    <row r="17" spans="1:11" ht="20" customHeight="1">
      <c r="A17" s="2"/>
      <c r="B17" s="2"/>
      <c r="C17" s="2"/>
      <c r="D17" s="2"/>
      <c r="E17" s="2"/>
      <c r="F17" s="2"/>
      <c r="G17" s="2"/>
      <c r="H17" s="2"/>
      <c r="I17" s="2"/>
      <c r="J17" s="1"/>
      <c r="K17" s="1"/>
    </row>
    <row r="18" spans="1:11" ht="20" customHeight="1">
      <c r="A18" s="2"/>
      <c r="B18" s="2"/>
      <c r="C18" s="2"/>
      <c r="D18" s="2"/>
      <c r="E18" s="2"/>
      <c r="F18" s="2"/>
      <c r="G18" s="2"/>
      <c r="H18" s="2"/>
      <c r="I18" s="2"/>
      <c r="J18" s="1"/>
      <c r="K18" s="1"/>
    </row>
    <row r="19" spans="1:11" ht="20" customHeight="1">
      <c r="A19" s="2"/>
      <c r="B19" s="2"/>
      <c r="C19" s="2"/>
      <c r="D19" s="2"/>
      <c r="E19" s="2"/>
      <c r="F19" s="2"/>
      <c r="G19" s="2"/>
      <c r="H19" s="2"/>
      <c r="I19" s="2"/>
      <c r="J19" s="1"/>
      <c r="K19" s="1"/>
    </row>
    <row r="20" spans="1:11" ht="20" customHeight="1">
      <c r="A20" s="2"/>
      <c r="B20" s="2"/>
      <c r="C20" s="2"/>
      <c r="D20" s="2"/>
      <c r="E20" s="2"/>
      <c r="F20" s="2"/>
      <c r="G20" s="2"/>
      <c r="H20" s="2"/>
      <c r="I20" s="2"/>
      <c r="J20" s="1"/>
      <c r="K20" s="1"/>
    </row>
    <row r="21" spans="1:11" ht="20" customHeight="1">
      <c r="A21" s="2"/>
      <c r="B21" s="2"/>
      <c r="C21" s="2"/>
      <c r="D21" s="2"/>
      <c r="E21" s="2"/>
      <c r="F21" s="2"/>
      <c r="G21" s="2"/>
      <c r="H21" s="2"/>
      <c r="I21" s="2"/>
      <c r="J21" s="1"/>
      <c r="K21" s="1"/>
    </row>
    <row r="22" spans="1:11" ht="20" customHeight="1">
      <c r="A22" s="2"/>
      <c r="B22" s="2"/>
      <c r="C22" s="2"/>
      <c r="D22" s="2"/>
      <c r="E22" s="2"/>
      <c r="F22" s="2"/>
      <c r="G22" s="2"/>
      <c r="H22" s="2"/>
      <c r="I22" s="2"/>
      <c r="J22" s="1"/>
      <c r="K22" s="1"/>
    </row>
    <row r="23" spans="1:11" ht="20" customHeight="1">
      <c r="A23" s="2"/>
      <c r="B23" s="2"/>
      <c r="C23" s="2"/>
      <c r="D23" s="2"/>
      <c r="E23" s="2"/>
      <c r="F23" s="2"/>
      <c r="G23" s="2"/>
      <c r="H23" s="2"/>
      <c r="I23" s="2"/>
      <c r="J23" s="1"/>
      <c r="K23" s="1"/>
    </row>
    <row r="24" spans="1:11" ht="20" customHeight="1">
      <c r="A24" s="2"/>
      <c r="B24" s="2"/>
      <c r="C24" s="2"/>
      <c r="D24" s="2"/>
      <c r="E24" s="2"/>
      <c r="F24" s="2"/>
      <c r="G24" s="2"/>
      <c r="H24" s="2"/>
      <c r="I24" s="2"/>
      <c r="J24" s="1"/>
      <c r="K24" s="1"/>
    </row>
    <row r="25" spans="1:11" ht="20" customHeight="1">
      <c r="A25" s="2"/>
      <c r="B25" s="2"/>
      <c r="C25" s="2"/>
      <c r="D25" s="2"/>
      <c r="E25" s="2"/>
      <c r="F25" s="2"/>
      <c r="G25" s="2"/>
      <c r="H25" s="2"/>
      <c r="I25" s="2"/>
      <c r="J25" s="1"/>
      <c r="K25" s="1"/>
    </row>
    <row r="26" spans="1:11" ht="20" customHeight="1">
      <c r="A26" s="2"/>
      <c r="B26" s="2"/>
      <c r="C26" s="2"/>
      <c r="D26" s="2"/>
      <c r="E26" s="2"/>
      <c r="F26" s="2"/>
      <c r="G26" s="2"/>
      <c r="H26" s="2"/>
      <c r="I26" s="2"/>
      <c r="J26" s="1"/>
      <c r="K26" s="1"/>
    </row>
    <row r="27" spans="1:11" ht="20" customHeigh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</row>
    <row r="28" spans="1:11" ht="20" customHeight="1">
      <c r="A28" s="2"/>
      <c r="B28" s="2"/>
      <c r="C28" s="2"/>
      <c r="D28" s="2"/>
      <c r="E28" s="2"/>
      <c r="F28" s="2"/>
      <c r="G28" s="2"/>
      <c r="H28" s="2"/>
      <c r="I28" s="2"/>
      <c r="J28" s="1"/>
      <c r="K28" s="1"/>
    </row>
    <row r="29" spans="1:11" ht="20" customHeight="1">
      <c r="A29" s="2"/>
      <c r="B29" s="2"/>
      <c r="C29" s="2"/>
      <c r="D29" s="2"/>
      <c r="E29" s="2"/>
      <c r="F29" s="2"/>
      <c r="G29" s="2"/>
      <c r="H29" s="2"/>
      <c r="I29" s="2"/>
      <c r="J29" s="1"/>
      <c r="K29" s="1"/>
    </row>
    <row r="30" spans="1:11" ht="20" customHeight="1">
      <c r="A30" s="2"/>
      <c r="B30" s="2"/>
      <c r="C30" s="2"/>
      <c r="D30" s="2"/>
      <c r="E30" s="2"/>
      <c r="F30" s="2"/>
      <c r="G30" s="2"/>
      <c r="H30" s="2"/>
      <c r="I30" s="2"/>
      <c r="J30" s="1"/>
      <c r="K30" s="1"/>
    </row>
    <row r="31" spans="1:11" ht="20" customHeight="1">
      <c r="A31" s="2"/>
      <c r="B31" s="2"/>
      <c r="C31" s="2"/>
      <c r="D31" s="2"/>
      <c r="E31" s="2"/>
      <c r="F31" s="2"/>
      <c r="G31" s="2"/>
      <c r="H31" s="2"/>
      <c r="I31" s="2"/>
      <c r="J31" s="1"/>
      <c r="K31" s="1"/>
    </row>
    <row r="32" spans="1:11" ht="20" customHeight="1">
      <c r="A32" s="2"/>
      <c r="B32" s="2"/>
      <c r="C32" s="2"/>
      <c r="D32" s="2"/>
      <c r="E32" s="2"/>
      <c r="F32" s="2"/>
      <c r="G32" s="2"/>
      <c r="H32" s="2"/>
      <c r="I32" s="2"/>
      <c r="J32" s="1"/>
      <c r="K32" s="1"/>
    </row>
    <row r="33" spans="1:11" ht="20" customHeight="1">
      <c r="A33" s="2"/>
      <c r="B33" s="2"/>
      <c r="C33" s="2"/>
      <c r="D33" s="2"/>
      <c r="E33" s="2"/>
      <c r="F33" s="2"/>
      <c r="G33" s="2"/>
      <c r="H33" s="2"/>
      <c r="I33" s="2"/>
      <c r="J33" s="1"/>
      <c r="K33" s="1"/>
    </row>
    <row r="34" spans="1:11" ht="20" customHeight="1">
      <c r="A34" s="2"/>
      <c r="B34" s="2"/>
      <c r="C34" s="2"/>
      <c r="D34" s="2"/>
      <c r="E34" s="2"/>
      <c r="F34" s="2"/>
      <c r="G34" s="2"/>
      <c r="H34" s="2"/>
      <c r="I34" s="2"/>
      <c r="J34" s="1"/>
      <c r="K34" s="1"/>
    </row>
    <row r="35" spans="1:11" ht="20" customHeight="1">
      <c r="A35" s="2"/>
      <c r="B35" s="2"/>
      <c r="C35" s="2"/>
      <c r="D35" s="2"/>
      <c r="E35" s="2"/>
      <c r="F35" s="2"/>
      <c r="G35" s="2"/>
      <c r="H35" s="2"/>
      <c r="I35" s="2"/>
      <c r="J35" s="1"/>
      <c r="K35" s="1"/>
    </row>
    <row r="36" spans="1:11" ht="20" customHeigh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</row>
    <row r="37" spans="1:11" ht="20" customHeight="1">
      <c r="A37" s="2"/>
      <c r="B37" s="2"/>
      <c r="C37" s="2"/>
      <c r="D37" s="2"/>
      <c r="E37" s="2"/>
      <c r="F37" s="2"/>
      <c r="G37" s="2"/>
      <c r="H37" s="2"/>
      <c r="I37" s="2"/>
      <c r="J37" s="1"/>
      <c r="K37" s="1"/>
    </row>
    <row r="38" spans="1:11" ht="20" customHeight="1">
      <c r="A38" s="2"/>
      <c r="B38" s="2"/>
      <c r="C38" s="2"/>
      <c r="D38" s="2"/>
      <c r="E38" s="2"/>
      <c r="F38" s="2"/>
      <c r="G38" s="2"/>
      <c r="H38" s="2"/>
      <c r="I38" s="2"/>
      <c r="J38" s="1"/>
      <c r="K38" s="1"/>
    </row>
    <row r="39" spans="1:11" ht="20" customHeight="1">
      <c r="A39" s="2"/>
      <c r="B39" s="2"/>
      <c r="C39" s="2"/>
      <c r="D39" s="2"/>
      <c r="E39" s="2"/>
      <c r="F39" s="2"/>
      <c r="G39" s="2"/>
      <c r="H39" s="2"/>
      <c r="I39" s="2"/>
      <c r="J39" s="1"/>
      <c r="K39" s="1"/>
    </row>
    <row r="40" spans="1:11" ht="20" customHeight="1">
      <c r="A40" s="2"/>
      <c r="B40" s="2"/>
      <c r="C40" s="2"/>
      <c r="D40" s="2"/>
      <c r="E40" s="2"/>
      <c r="F40" s="2"/>
      <c r="G40" s="2"/>
      <c r="H40" s="2"/>
      <c r="I40" s="2"/>
      <c r="J40" s="1"/>
      <c r="K40" s="1"/>
    </row>
    <row r="41" spans="1:11" ht="20" customHeight="1">
      <c r="A41" s="2"/>
      <c r="B41" s="2"/>
      <c r="C41" s="2"/>
      <c r="D41" s="2"/>
      <c r="E41" s="2"/>
      <c r="F41" s="2"/>
      <c r="G41" s="2"/>
      <c r="H41" s="2"/>
      <c r="I41" s="2"/>
      <c r="J41" s="1"/>
      <c r="K41" s="1"/>
    </row>
    <row r="42" spans="1:11" ht="20" customHeight="1">
      <c r="A42" s="2"/>
      <c r="B42" s="2"/>
      <c r="C42" s="2"/>
      <c r="D42" s="2"/>
      <c r="E42" s="2"/>
      <c r="F42" s="2"/>
      <c r="G42" s="2"/>
      <c r="H42" s="2"/>
      <c r="I42" s="2"/>
      <c r="J42" s="1"/>
      <c r="K42" s="1"/>
    </row>
    <row r="43" spans="1:11" ht="20" customHeight="1">
      <c r="A43" s="2"/>
      <c r="B43" s="2"/>
      <c r="C43" s="2"/>
      <c r="D43" s="2"/>
      <c r="E43" s="2"/>
      <c r="F43" s="2"/>
      <c r="G43" s="2"/>
      <c r="H43" s="2"/>
      <c r="I43" s="2"/>
      <c r="J43" s="1"/>
      <c r="K43" s="1"/>
    </row>
    <row r="44" spans="1:11" ht="20" customHeight="1">
      <c r="A44" s="2"/>
      <c r="B44" s="2"/>
      <c r="C44" s="2"/>
      <c r="D44" s="2"/>
      <c r="E44" s="2"/>
      <c r="F44" s="2"/>
      <c r="G44" s="2"/>
      <c r="H44" s="2"/>
      <c r="I44" s="2"/>
      <c r="J44" s="1"/>
      <c r="K44" s="1"/>
    </row>
    <row r="45" spans="1:11" ht="20" customHeigh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</row>
    <row r="46" spans="1:11" ht="20" customHeight="1">
      <c r="A46" s="2"/>
      <c r="B46" s="2"/>
      <c r="C46" s="2"/>
      <c r="D46" s="2"/>
      <c r="E46" s="2"/>
      <c r="F46" s="2"/>
      <c r="G46" s="2"/>
      <c r="H46" s="2"/>
      <c r="I46" s="2"/>
      <c r="J46" s="1"/>
      <c r="K46" s="1"/>
    </row>
    <row r="47" spans="1:11" ht="20" customHeight="1">
      <c r="A47" s="2"/>
      <c r="B47" s="2"/>
      <c r="C47" s="2"/>
      <c r="D47" s="2"/>
      <c r="E47" s="2"/>
      <c r="F47" s="2"/>
      <c r="G47" s="2"/>
      <c r="H47" s="2"/>
      <c r="I47" s="2"/>
      <c r="J47" s="1"/>
      <c r="K47" s="1"/>
    </row>
    <row r="48" spans="1:11" ht="20" customHeight="1">
      <c r="A48" s="2"/>
      <c r="B48" s="2"/>
      <c r="C48" s="2"/>
      <c r="D48" s="2"/>
      <c r="E48" s="2"/>
      <c r="F48" s="2"/>
      <c r="G48" s="2"/>
      <c r="H48" s="2"/>
      <c r="I48" s="2"/>
      <c r="J48" s="1"/>
      <c r="K48" s="1"/>
    </row>
    <row r="49" spans="1:11" ht="20" customHeight="1">
      <c r="A49" s="2"/>
      <c r="B49" s="2"/>
      <c r="C49" s="2"/>
      <c r="D49" s="2"/>
      <c r="E49" s="2"/>
      <c r="F49" s="2"/>
      <c r="G49" s="2"/>
      <c r="H49" s="2"/>
      <c r="I49" s="2"/>
      <c r="J49" s="1"/>
      <c r="K49" s="1"/>
    </row>
    <row r="50" spans="1:11" ht="20" customHeight="1">
      <c r="A50" s="2"/>
      <c r="B50" s="2"/>
      <c r="C50" s="2"/>
      <c r="D50" s="2"/>
      <c r="E50" s="2"/>
      <c r="F50" s="2"/>
      <c r="G50" s="2"/>
      <c r="H50" s="2"/>
      <c r="I50" s="2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2">
    <dataValidation type="list" allowBlank="1" sqref="G2:G100" xr:uid="{00000000-0002-0000-0500-000000000000}">
      <formula1>"Developer,Product Owner,Tester,Designer,DevOps"</formula1>
    </dataValidation>
    <dataValidation type="list" allowBlank="1" sqref="H2:H100" xr:uid="{00000000-0002-0000-0500-000001000000}">
      <formula1>"Open,Monitoring,Mitigated,Closed,Accepted"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0"/>
  <sheetViews>
    <sheetView zoomScale="120" zoomScaleNormal="120" workbookViewId="0">
      <selection activeCell="B21" sqref="B21"/>
    </sheetView>
  </sheetViews>
  <sheetFormatPr baseColWidth="10" defaultColWidth="8.83203125" defaultRowHeight="15"/>
  <cols>
    <col min="1" max="1" width="16.5" customWidth="1"/>
    <col min="2" max="2" width="11.5" customWidth="1"/>
    <col min="3" max="3" width="7.33203125" customWidth="1"/>
    <col min="4" max="4" width="56.1640625" customWidth="1"/>
    <col min="5" max="5" width="41.33203125" customWidth="1"/>
    <col min="6" max="6" width="10.33203125" customWidth="1"/>
  </cols>
  <sheetData>
    <row r="1" spans="1:11" ht="25.5" customHeight="1">
      <c r="A1" s="15" t="s">
        <v>303</v>
      </c>
      <c r="B1" s="15" t="s">
        <v>304</v>
      </c>
      <c r="C1" s="15" t="s">
        <v>3</v>
      </c>
      <c r="D1" s="15" t="s">
        <v>305</v>
      </c>
      <c r="E1" s="15" t="s">
        <v>306</v>
      </c>
      <c r="F1" s="15" t="s">
        <v>6</v>
      </c>
      <c r="G1" s="1"/>
      <c r="H1" s="1"/>
      <c r="I1" s="1"/>
      <c r="J1" s="1"/>
      <c r="K1" s="1"/>
    </row>
    <row r="2" spans="1:11" ht="20" customHeight="1">
      <c r="A2" s="2" t="s">
        <v>307</v>
      </c>
      <c r="B2" s="2" t="s">
        <v>49</v>
      </c>
      <c r="C2" s="2" t="s">
        <v>61</v>
      </c>
      <c r="D2" s="2" t="s">
        <v>308</v>
      </c>
      <c r="E2" s="2" t="s">
        <v>309</v>
      </c>
      <c r="F2" s="2" t="s">
        <v>255</v>
      </c>
      <c r="G2" s="1"/>
      <c r="H2" s="1"/>
      <c r="I2" s="1"/>
      <c r="J2" s="1"/>
      <c r="K2" s="1"/>
    </row>
    <row r="3" spans="1:11" ht="20" customHeight="1">
      <c r="A3" s="2" t="s">
        <v>310</v>
      </c>
      <c r="B3" s="2" t="s">
        <v>75</v>
      </c>
      <c r="C3" s="2" t="s">
        <v>76</v>
      </c>
      <c r="D3" s="2" t="s">
        <v>311</v>
      </c>
      <c r="E3" s="2" t="s">
        <v>312</v>
      </c>
      <c r="F3" s="2" t="s">
        <v>255</v>
      </c>
      <c r="G3" s="1"/>
      <c r="H3" s="1"/>
      <c r="I3" s="1"/>
      <c r="J3" s="1"/>
      <c r="K3" s="1"/>
    </row>
    <row r="4" spans="1:11" ht="20" customHeight="1">
      <c r="A4" s="2" t="s">
        <v>313</v>
      </c>
      <c r="B4" s="2" t="s">
        <v>90</v>
      </c>
      <c r="C4" s="2" t="s">
        <v>91</v>
      </c>
      <c r="D4" s="2" t="s">
        <v>314</v>
      </c>
      <c r="E4" s="2" t="s">
        <v>315</v>
      </c>
      <c r="F4" s="2" t="s">
        <v>255</v>
      </c>
      <c r="G4" s="1"/>
      <c r="H4" s="1"/>
      <c r="I4" s="1"/>
      <c r="J4" s="1"/>
      <c r="K4" s="1"/>
    </row>
    <row r="5" spans="1:11" ht="20" customHeight="1">
      <c r="A5" s="2" t="s">
        <v>316</v>
      </c>
      <c r="B5" s="2" t="s">
        <v>317</v>
      </c>
      <c r="C5" s="2" t="s">
        <v>108</v>
      </c>
      <c r="D5" s="2" t="s">
        <v>318</v>
      </c>
      <c r="E5" s="2" t="s">
        <v>319</v>
      </c>
      <c r="F5" s="2" t="s">
        <v>255</v>
      </c>
      <c r="G5" s="1"/>
      <c r="H5" s="1"/>
      <c r="I5" s="1"/>
      <c r="J5" s="1"/>
      <c r="K5" s="1"/>
    </row>
    <row r="6" spans="1:11" ht="20" customHeight="1">
      <c r="A6" s="2" t="s">
        <v>320</v>
      </c>
      <c r="B6" s="2" t="s">
        <v>75</v>
      </c>
      <c r="C6" s="2" t="s">
        <v>125</v>
      </c>
      <c r="D6" s="2" t="s">
        <v>321</v>
      </c>
      <c r="E6" s="2" t="s">
        <v>322</v>
      </c>
      <c r="F6" s="2" t="s">
        <v>255</v>
      </c>
      <c r="G6" s="1"/>
      <c r="H6" s="1"/>
      <c r="I6" s="1"/>
      <c r="J6" s="1"/>
      <c r="K6" s="1"/>
    </row>
    <row r="7" spans="1:11" ht="20" customHeight="1">
      <c r="A7" s="2" t="s">
        <v>323</v>
      </c>
      <c r="B7" s="2" t="s">
        <v>41</v>
      </c>
      <c r="C7" s="2" t="s">
        <v>136</v>
      </c>
      <c r="D7" s="2" t="s">
        <v>324</v>
      </c>
      <c r="E7" s="2" t="s">
        <v>325</v>
      </c>
      <c r="F7" s="2" t="s">
        <v>255</v>
      </c>
      <c r="G7" s="1"/>
      <c r="H7" s="1"/>
      <c r="I7" s="1"/>
      <c r="J7" s="1"/>
      <c r="K7" s="1"/>
    </row>
    <row r="8" spans="1:11" ht="20" customHeight="1">
      <c r="A8" s="2" t="s">
        <v>326</v>
      </c>
      <c r="B8" s="2" t="s">
        <v>327</v>
      </c>
      <c r="C8" s="2" t="s">
        <v>164</v>
      </c>
      <c r="D8" s="2" t="s">
        <v>328</v>
      </c>
      <c r="E8" s="2" t="s">
        <v>329</v>
      </c>
      <c r="F8" s="2" t="s">
        <v>255</v>
      </c>
      <c r="G8" s="1"/>
      <c r="H8" s="1"/>
      <c r="I8" s="1"/>
      <c r="J8" s="1"/>
      <c r="K8" s="1"/>
    </row>
    <row r="9" spans="1:11" ht="20" customHeight="1">
      <c r="A9" s="2"/>
      <c r="B9" s="2"/>
      <c r="C9" s="2"/>
      <c r="D9" s="2"/>
      <c r="E9" s="2"/>
      <c r="F9" s="2"/>
      <c r="G9" s="1"/>
      <c r="H9" s="1"/>
      <c r="I9" s="1"/>
      <c r="J9" s="1"/>
      <c r="K9" s="1"/>
    </row>
    <row r="10" spans="1:11" ht="20" customHeight="1">
      <c r="A10" s="2"/>
      <c r="B10" s="2"/>
      <c r="C10" s="2"/>
      <c r="D10" s="2"/>
      <c r="E10" s="2"/>
      <c r="F10" s="2"/>
      <c r="G10" s="1"/>
      <c r="H10" s="1"/>
      <c r="I10" s="1"/>
      <c r="J10" s="1"/>
      <c r="K10" s="1"/>
    </row>
    <row r="11" spans="1:11" ht="20" customHeight="1">
      <c r="A11" s="2"/>
      <c r="B11" s="2"/>
      <c r="C11" s="2"/>
      <c r="D11" s="2"/>
      <c r="E11" s="2"/>
      <c r="F11" s="2"/>
      <c r="G11" s="1"/>
      <c r="H11" s="1"/>
      <c r="I11" s="1"/>
      <c r="J11" s="1"/>
      <c r="K11" s="1"/>
    </row>
    <row r="12" spans="1:11" ht="20" customHeight="1">
      <c r="A12" s="2"/>
      <c r="B12" s="2"/>
      <c r="C12" s="2"/>
      <c r="D12" s="2"/>
      <c r="E12" s="2"/>
      <c r="F12" s="2"/>
      <c r="G12" s="1"/>
      <c r="H12" s="1"/>
      <c r="I12" s="1"/>
      <c r="J12" s="1"/>
      <c r="K12" s="1"/>
    </row>
    <row r="13" spans="1:11" ht="20" customHeight="1">
      <c r="A13" s="2"/>
      <c r="B13" s="2"/>
      <c r="C13" s="2"/>
      <c r="D13" s="2"/>
      <c r="E13" s="2"/>
      <c r="F13" s="2"/>
      <c r="G13" s="1"/>
      <c r="H13" s="1"/>
      <c r="I13" s="1"/>
      <c r="J13" s="1"/>
      <c r="K13" s="1"/>
    </row>
    <row r="14" spans="1:11" ht="20" customHeight="1">
      <c r="A14" s="2"/>
      <c r="B14" s="2"/>
      <c r="C14" s="2"/>
      <c r="D14" s="2"/>
      <c r="E14" s="2"/>
      <c r="F14" s="2"/>
      <c r="G14" s="1"/>
      <c r="H14" s="1"/>
      <c r="I14" s="1"/>
      <c r="J14" s="1"/>
      <c r="K14" s="1"/>
    </row>
    <row r="15" spans="1:11" ht="20" customHeight="1">
      <c r="A15" s="2"/>
      <c r="B15" s="2"/>
      <c r="C15" s="2"/>
      <c r="D15" s="2"/>
      <c r="E15" s="2"/>
      <c r="F15" s="2"/>
      <c r="G15" s="1"/>
      <c r="H15" s="1"/>
      <c r="I15" s="1"/>
      <c r="J15" s="1"/>
      <c r="K15" s="1"/>
    </row>
    <row r="16" spans="1:11" ht="20" customHeight="1">
      <c r="A16" s="2"/>
      <c r="B16" s="2"/>
      <c r="C16" s="2"/>
      <c r="D16" s="2"/>
      <c r="E16" s="2"/>
      <c r="F16" s="2"/>
      <c r="G16" s="1"/>
      <c r="H16" s="1"/>
      <c r="I16" s="1"/>
      <c r="J16" s="1"/>
      <c r="K16" s="1"/>
    </row>
    <row r="17" spans="1:11" ht="20" customHeight="1">
      <c r="A17" s="2"/>
      <c r="B17" s="2"/>
      <c r="C17" s="2"/>
      <c r="D17" s="2"/>
      <c r="E17" s="2"/>
      <c r="F17" s="2"/>
      <c r="G17" s="1"/>
      <c r="H17" s="1"/>
      <c r="I17" s="1"/>
      <c r="J17" s="1"/>
      <c r="K17" s="1"/>
    </row>
    <row r="18" spans="1:11" ht="20" customHeight="1">
      <c r="A18" s="2"/>
      <c r="B18" s="2"/>
      <c r="C18" s="2"/>
      <c r="D18" s="2"/>
      <c r="E18" s="2"/>
      <c r="F18" s="2"/>
      <c r="G18" s="1"/>
      <c r="H18" s="1"/>
      <c r="I18" s="1"/>
      <c r="J18" s="1"/>
      <c r="K18" s="1"/>
    </row>
    <row r="19" spans="1:11" ht="20" customHeight="1">
      <c r="A19" s="2"/>
      <c r="B19" s="2"/>
      <c r="C19" s="2"/>
      <c r="D19" s="2"/>
      <c r="E19" s="2"/>
      <c r="F19" s="2"/>
      <c r="G19" s="1"/>
      <c r="H19" s="1"/>
      <c r="I19" s="1"/>
      <c r="J19" s="1"/>
      <c r="K19" s="1"/>
    </row>
    <row r="20" spans="1:11" ht="20" customHeight="1">
      <c r="A20" s="2"/>
      <c r="B20" s="2"/>
      <c r="C20" s="2"/>
      <c r="D20" s="2"/>
      <c r="E20" s="2"/>
      <c r="F20" s="2"/>
      <c r="G20" s="1"/>
      <c r="H20" s="1"/>
      <c r="I20" s="1"/>
      <c r="J20" s="1"/>
      <c r="K20" s="1"/>
    </row>
    <row r="21" spans="1:11" ht="20" customHeight="1">
      <c r="A21" s="2"/>
      <c r="B21" s="2"/>
      <c r="C21" s="2"/>
      <c r="D21" s="2"/>
      <c r="E21" s="2"/>
      <c r="F21" s="2"/>
      <c r="G21" s="1"/>
      <c r="H21" s="1"/>
      <c r="I21" s="1"/>
      <c r="J21" s="1"/>
      <c r="K21" s="1"/>
    </row>
    <row r="22" spans="1:11" ht="20" customHeight="1">
      <c r="A22" s="2"/>
      <c r="B22" s="2"/>
      <c r="C22" s="2"/>
      <c r="D22" s="2"/>
      <c r="E22" s="2"/>
      <c r="F22" s="2"/>
      <c r="G22" s="1"/>
      <c r="H22" s="1"/>
      <c r="I22" s="1"/>
      <c r="J22" s="1"/>
      <c r="K22" s="1"/>
    </row>
    <row r="23" spans="1:11" ht="20" customHeight="1">
      <c r="A23" s="2"/>
      <c r="B23" s="2"/>
      <c r="C23" s="2"/>
      <c r="D23" s="2"/>
      <c r="E23" s="2"/>
      <c r="F23" s="2"/>
      <c r="G23" s="1"/>
      <c r="H23" s="1"/>
      <c r="I23" s="1"/>
      <c r="J23" s="1"/>
      <c r="K23" s="1"/>
    </row>
    <row r="24" spans="1:11" ht="20" customHeight="1">
      <c r="A24" s="2"/>
      <c r="B24" s="2"/>
      <c r="C24" s="2"/>
      <c r="D24" s="2"/>
      <c r="E24" s="2"/>
      <c r="F24" s="2"/>
      <c r="G24" s="1"/>
      <c r="H24" s="1"/>
      <c r="I24" s="1"/>
      <c r="J24" s="1"/>
      <c r="K24" s="1"/>
    </row>
    <row r="25" spans="1:11" ht="20" customHeight="1">
      <c r="A25" s="2"/>
      <c r="B25" s="2"/>
      <c r="C25" s="2"/>
      <c r="D25" s="2"/>
      <c r="E25" s="2"/>
      <c r="F25" s="2"/>
      <c r="G25" s="1"/>
      <c r="H25" s="1"/>
      <c r="I25" s="1"/>
      <c r="J25" s="1"/>
      <c r="K25" s="1"/>
    </row>
    <row r="26" spans="1:11" ht="20" customHeight="1">
      <c r="A26" s="2"/>
      <c r="B26" s="2"/>
      <c r="C26" s="2"/>
      <c r="D26" s="2"/>
      <c r="E26" s="2"/>
      <c r="F26" s="2"/>
      <c r="G26" s="1"/>
      <c r="H26" s="1"/>
      <c r="I26" s="1"/>
      <c r="J26" s="1"/>
      <c r="K26" s="1"/>
    </row>
    <row r="27" spans="1:11" ht="20" customHeight="1">
      <c r="A27" s="2"/>
      <c r="B27" s="2"/>
      <c r="C27" s="2"/>
      <c r="D27" s="2"/>
      <c r="E27" s="2"/>
      <c r="F27" s="2"/>
      <c r="G27" s="1"/>
      <c r="H27" s="1"/>
      <c r="I27" s="1"/>
      <c r="J27" s="1"/>
      <c r="K27" s="1"/>
    </row>
    <row r="28" spans="1:11" ht="20" customHeight="1">
      <c r="A28" s="2"/>
      <c r="B28" s="2"/>
      <c r="C28" s="2"/>
      <c r="D28" s="2"/>
      <c r="E28" s="2"/>
      <c r="F28" s="2"/>
      <c r="G28" s="1"/>
      <c r="H28" s="1"/>
      <c r="I28" s="1"/>
      <c r="J28" s="1"/>
      <c r="K28" s="1"/>
    </row>
    <row r="29" spans="1:11" ht="20" customHeight="1">
      <c r="A29" s="2"/>
      <c r="B29" s="2"/>
      <c r="C29" s="2"/>
      <c r="D29" s="2"/>
      <c r="E29" s="2"/>
      <c r="F29" s="2"/>
      <c r="G29" s="1"/>
      <c r="H29" s="1"/>
      <c r="I29" s="1"/>
      <c r="J29" s="1"/>
      <c r="K29" s="1"/>
    </row>
    <row r="30" spans="1:11" ht="20" customHeight="1">
      <c r="A30" s="2"/>
      <c r="B30" s="2"/>
      <c r="C30" s="2"/>
      <c r="D30" s="2"/>
      <c r="E30" s="2"/>
      <c r="F30" s="2"/>
      <c r="G30" s="1"/>
      <c r="H30" s="1"/>
      <c r="I30" s="1"/>
      <c r="J30" s="1"/>
      <c r="K30" s="1"/>
    </row>
    <row r="31" spans="1:11" ht="20" customHeight="1">
      <c r="A31" s="2"/>
      <c r="B31" s="2"/>
      <c r="C31" s="2"/>
      <c r="D31" s="2"/>
      <c r="E31" s="2"/>
      <c r="F31" s="2"/>
      <c r="G31" s="1"/>
      <c r="H31" s="1"/>
      <c r="I31" s="1"/>
      <c r="J31" s="1"/>
      <c r="K31" s="1"/>
    </row>
    <row r="32" spans="1:11" ht="20" customHeight="1">
      <c r="A32" s="2"/>
      <c r="B32" s="2"/>
      <c r="C32" s="2"/>
      <c r="D32" s="2"/>
      <c r="E32" s="2"/>
      <c r="F32" s="2"/>
      <c r="G32" s="1"/>
      <c r="H32" s="1"/>
      <c r="I32" s="1"/>
      <c r="J32" s="1"/>
      <c r="K32" s="1"/>
    </row>
    <row r="33" spans="1:11" ht="20" customHeight="1">
      <c r="A33" s="2"/>
      <c r="B33" s="2"/>
      <c r="C33" s="2"/>
      <c r="D33" s="2"/>
      <c r="E33" s="2"/>
      <c r="F33" s="2"/>
      <c r="G33" s="1"/>
      <c r="H33" s="1"/>
      <c r="I33" s="1"/>
      <c r="J33" s="1"/>
      <c r="K33" s="1"/>
    </row>
    <row r="34" spans="1:11" ht="20" customHeight="1">
      <c r="A34" s="2"/>
      <c r="B34" s="2"/>
      <c r="C34" s="2"/>
      <c r="D34" s="2"/>
      <c r="E34" s="2"/>
      <c r="F34" s="2"/>
      <c r="G34" s="1"/>
      <c r="H34" s="1"/>
      <c r="I34" s="1"/>
      <c r="J34" s="1"/>
      <c r="K34" s="1"/>
    </row>
    <row r="35" spans="1:11" ht="20" customHeight="1">
      <c r="A35" s="2"/>
      <c r="B35" s="2"/>
      <c r="C35" s="2"/>
      <c r="D35" s="2"/>
      <c r="E35" s="2"/>
      <c r="F35" s="2"/>
      <c r="G35" s="1"/>
      <c r="H35" s="1"/>
      <c r="I35" s="1"/>
      <c r="J35" s="1"/>
      <c r="K35" s="1"/>
    </row>
    <row r="36" spans="1:11" ht="20" customHeight="1">
      <c r="A36" s="2"/>
      <c r="B36" s="2"/>
      <c r="C36" s="2"/>
      <c r="D36" s="2"/>
      <c r="E36" s="2"/>
      <c r="F36" s="2"/>
      <c r="G36" s="1"/>
      <c r="H36" s="1"/>
      <c r="I36" s="1"/>
      <c r="J36" s="1"/>
      <c r="K36" s="1"/>
    </row>
    <row r="37" spans="1:11" ht="20" customHeight="1">
      <c r="A37" s="2"/>
      <c r="B37" s="2"/>
      <c r="C37" s="2"/>
      <c r="D37" s="2"/>
      <c r="E37" s="2"/>
      <c r="F37" s="2"/>
      <c r="G37" s="1"/>
      <c r="H37" s="1"/>
      <c r="I37" s="1"/>
      <c r="J37" s="1"/>
      <c r="K37" s="1"/>
    </row>
    <row r="38" spans="1:11" ht="20" customHeight="1">
      <c r="A38" s="2"/>
      <c r="B38" s="2"/>
      <c r="C38" s="2"/>
      <c r="D38" s="2"/>
      <c r="E38" s="2"/>
      <c r="F38" s="2"/>
      <c r="G38" s="1"/>
      <c r="H38" s="1"/>
      <c r="I38" s="1"/>
      <c r="J38" s="1"/>
      <c r="K38" s="1"/>
    </row>
    <row r="39" spans="1:11" ht="20" customHeight="1">
      <c r="A39" s="2"/>
      <c r="B39" s="2"/>
      <c r="C39" s="2"/>
      <c r="D39" s="2"/>
      <c r="E39" s="2"/>
      <c r="F39" s="2"/>
      <c r="G39" s="1"/>
      <c r="H39" s="1"/>
      <c r="I39" s="1"/>
      <c r="J39" s="1"/>
      <c r="K39" s="1"/>
    </row>
    <row r="40" spans="1:11" ht="20" customHeight="1">
      <c r="A40" s="2"/>
      <c r="B40" s="2"/>
      <c r="C40" s="2"/>
      <c r="D40" s="2"/>
      <c r="E40" s="2"/>
      <c r="F40" s="2"/>
      <c r="G40" s="1"/>
      <c r="H40" s="1"/>
      <c r="I40" s="1"/>
      <c r="J40" s="1"/>
      <c r="K40" s="1"/>
    </row>
    <row r="41" spans="1:11" ht="20" customHeight="1">
      <c r="A41" s="2"/>
      <c r="B41" s="2"/>
      <c r="C41" s="2"/>
      <c r="D41" s="2"/>
      <c r="E41" s="2"/>
      <c r="F41" s="2"/>
      <c r="G41" s="1"/>
      <c r="H41" s="1"/>
      <c r="I41" s="1"/>
      <c r="J41" s="1"/>
      <c r="K41" s="1"/>
    </row>
    <row r="42" spans="1:11" ht="20" customHeight="1">
      <c r="A42" s="2"/>
      <c r="B42" s="2"/>
      <c r="C42" s="2"/>
      <c r="D42" s="2"/>
      <c r="E42" s="2"/>
      <c r="F42" s="2"/>
      <c r="G42" s="1"/>
      <c r="H42" s="1"/>
      <c r="I42" s="1"/>
      <c r="J42" s="1"/>
      <c r="K42" s="1"/>
    </row>
    <row r="43" spans="1:11" ht="20" customHeight="1">
      <c r="A43" s="2"/>
      <c r="B43" s="2"/>
      <c r="C43" s="2"/>
      <c r="D43" s="2"/>
      <c r="E43" s="2"/>
      <c r="F43" s="2"/>
      <c r="G43" s="1"/>
      <c r="H43" s="1"/>
      <c r="I43" s="1"/>
      <c r="J43" s="1"/>
      <c r="K43" s="1"/>
    </row>
    <row r="44" spans="1:11" ht="20" customHeight="1">
      <c r="A44" s="2"/>
      <c r="B44" s="2"/>
      <c r="C44" s="2"/>
      <c r="D44" s="2"/>
      <c r="E44" s="2"/>
      <c r="F44" s="2"/>
      <c r="G44" s="1"/>
      <c r="H44" s="1"/>
      <c r="I44" s="1"/>
      <c r="J44" s="1"/>
      <c r="K44" s="1"/>
    </row>
    <row r="45" spans="1:11" ht="20" customHeight="1">
      <c r="A45" s="2"/>
      <c r="B45" s="2"/>
      <c r="C45" s="2"/>
      <c r="D45" s="2"/>
      <c r="E45" s="2"/>
      <c r="F45" s="2"/>
      <c r="G45" s="1"/>
      <c r="H45" s="1"/>
      <c r="I45" s="1"/>
      <c r="J45" s="1"/>
      <c r="K45" s="1"/>
    </row>
    <row r="46" spans="1:11" ht="20" customHeight="1">
      <c r="A46" s="2"/>
      <c r="B46" s="2"/>
      <c r="C46" s="2"/>
      <c r="D46" s="2"/>
      <c r="E46" s="2"/>
      <c r="F46" s="2"/>
      <c r="G46" s="1"/>
      <c r="H46" s="1"/>
      <c r="I46" s="1"/>
      <c r="J46" s="1"/>
      <c r="K46" s="1"/>
    </row>
    <row r="47" spans="1:11" ht="20" customHeight="1">
      <c r="A47" s="2"/>
      <c r="B47" s="2"/>
      <c r="C47" s="2"/>
      <c r="D47" s="2"/>
      <c r="E47" s="2"/>
      <c r="F47" s="2"/>
      <c r="G47" s="1"/>
      <c r="H47" s="1"/>
      <c r="I47" s="1"/>
      <c r="J47" s="1"/>
      <c r="K47" s="1"/>
    </row>
    <row r="48" spans="1:11" ht="20" customHeight="1">
      <c r="A48" s="2"/>
      <c r="B48" s="2"/>
      <c r="C48" s="2"/>
      <c r="D48" s="2"/>
      <c r="E48" s="2"/>
      <c r="F48" s="2"/>
      <c r="G48" s="1"/>
      <c r="H48" s="1"/>
      <c r="I48" s="1"/>
      <c r="J48" s="1"/>
      <c r="K48" s="1"/>
    </row>
    <row r="49" spans="1:11" ht="20" customHeight="1">
      <c r="A49" s="2"/>
      <c r="B49" s="2"/>
      <c r="C49" s="2"/>
      <c r="D49" s="2"/>
      <c r="E49" s="2"/>
      <c r="F49" s="2"/>
      <c r="G49" s="1"/>
      <c r="H49" s="1"/>
      <c r="I49" s="1"/>
      <c r="J49" s="1"/>
      <c r="K49" s="1"/>
    </row>
    <row r="50" spans="1:11" ht="20" customHeight="1">
      <c r="A50" s="2"/>
      <c r="B50" s="2"/>
      <c r="C50" s="2"/>
      <c r="D50" s="2"/>
      <c r="E50" s="2"/>
      <c r="F50" s="2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1">
    <dataValidation type="list" allowBlank="1" sqref="F2:F100" xr:uid="{00000000-0002-0000-0600-000000000000}">
      <formula1>"Not Started,In Progress,Done,Blocked,Deferred,N/A"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00"/>
  <sheetViews>
    <sheetView zoomScale="120" zoomScaleNormal="120" workbookViewId="0">
      <selection activeCell="B21" sqref="B21"/>
    </sheetView>
  </sheetViews>
  <sheetFormatPr baseColWidth="10" defaultColWidth="8.83203125" defaultRowHeight="15"/>
  <cols>
    <col min="1" max="1" width="8.1640625" customWidth="1"/>
    <col min="2" max="2" width="6.1640625" customWidth="1"/>
    <col min="3" max="3" width="11" customWidth="1"/>
    <col min="4" max="4" width="6.6640625" customWidth="1"/>
    <col min="5" max="5" width="8.6640625" customWidth="1"/>
    <col min="6" max="6" width="11" customWidth="1"/>
    <col min="7" max="7" width="12.83203125" customWidth="1"/>
    <col min="8" max="8" width="9.6640625" customWidth="1"/>
  </cols>
  <sheetData>
    <row r="1" spans="1:11" ht="20" customHeight="1">
      <c r="A1" s="16" t="s">
        <v>6</v>
      </c>
      <c r="B1" s="16" t="s">
        <v>32</v>
      </c>
      <c r="C1" s="16" t="s">
        <v>34</v>
      </c>
      <c r="D1" s="16" t="s">
        <v>31</v>
      </c>
      <c r="E1" s="16" t="s">
        <v>210</v>
      </c>
      <c r="F1" s="16" t="s">
        <v>410</v>
      </c>
      <c r="G1" s="16" t="s">
        <v>411</v>
      </c>
      <c r="H1" s="16" t="s">
        <v>412</v>
      </c>
      <c r="I1" s="1"/>
      <c r="J1" s="1"/>
      <c r="K1" s="1"/>
    </row>
    <row r="2" spans="1:11" ht="20" customHeight="1">
      <c r="A2" s="2" t="s">
        <v>151</v>
      </c>
      <c r="B2" s="2" t="s">
        <v>42</v>
      </c>
      <c r="C2" s="2" t="s">
        <v>45</v>
      </c>
      <c r="D2" s="2" t="s">
        <v>49</v>
      </c>
      <c r="E2" s="2" t="s">
        <v>216</v>
      </c>
      <c r="F2" s="2" t="s">
        <v>255</v>
      </c>
      <c r="G2" s="2" t="s">
        <v>255</v>
      </c>
      <c r="H2" s="2" t="s">
        <v>284</v>
      </c>
      <c r="I2" s="1"/>
      <c r="J2" s="1"/>
      <c r="K2" s="1"/>
    </row>
    <row r="3" spans="1:11" ht="20" customHeight="1">
      <c r="A3" s="2" t="s">
        <v>44</v>
      </c>
      <c r="B3" s="2" t="s">
        <v>149</v>
      </c>
      <c r="C3" s="2" t="s">
        <v>283</v>
      </c>
      <c r="D3" s="2" t="s">
        <v>75</v>
      </c>
      <c r="E3" s="2" t="s">
        <v>221</v>
      </c>
      <c r="F3" s="2" t="s">
        <v>184</v>
      </c>
      <c r="G3" s="2" t="s">
        <v>394</v>
      </c>
      <c r="H3" s="2" t="s">
        <v>413</v>
      </c>
      <c r="I3" s="1"/>
      <c r="J3" s="1"/>
      <c r="K3" s="1"/>
    </row>
    <row r="4" spans="1:11" ht="20" customHeight="1">
      <c r="A4" s="2" t="s">
        <v>217</v>
      </c>
      <c r="B4" s="2" t="s">
        <v>414</v>
      </c>
      <c r="C4" s="2" t="s">
        <v>172</v>
      </c>
      <c r="D4" s="2" t="s">
        <v>90</v>
      </c>
      <c r="E4" s="2" t="s">
        <v>225</v>
      </c>
      <c r="F4" s="2" t="s">
        <v>394</v>
      </c>
      <c r="G4" s="2" t="s">
        <v>404</v>
      </c>
      <c r="H4" s="2" t="s">
        <v>415</v>
      </c>
      <c r="I4" s="1"/>
      <c r="J4" s="1"/>
      <c r="K4" s="1"/>
    </row>
    <row r="5" spans="1:11" ht="20" customHeight="1">
      <c r="A5" s="2" t="s">
        <v>394</v>
      </c>
      <c r="B5" s="2" t="s">
        <v>416</v>
      </c>
      <c r="C5" s="2" t="s">
        <v>417</v>
      </c>
      <c r="D5" s="2" t="s">
        <v>41</v>
      </c>
      <c r="E5" s="2" t="s">
        <v>248</v>
      </c>
      <c r="F5" s="2" t="s">
        <v>404</v>
      </c>
      <c r="G5" s="2" t="s">
        <v>407</v>
      </c>
      <c r="H5" s="2" t="s">
        <v>418</v>
      </c>
      <c r="I5" s="1"/>
      <c r="J5" s="1"/>
      <c r="K5" s="1"/>
    </row>
    <row r="6" spans="1:11" ht="20" customHeight="1">
      <c r="A6" s="2" t="s">
        <v>399</v>
      </c>
      <c r="B6" s="2"/>
      <c r="C6" s="2" t="s">
        <v>165</v>
      </c>
      <c r="D6" s="2"/>
      <c r="E6" s="2" t="s">
        <v>229</v>
      </c>
      <c r="F6" s="2" t="s">
        <v>419</v>
      </c>
      <c r="G6" s="2" t="s">
        <v>420</v>
      </c>
      <c r="H6" s="2" t="s">
        <v>421</v>
      </c>
      <c r="I6" s="1"/>
      <c r="J6" s="1"/>
      <c r="K6" s="1"/>
    </row>
    <row r="7" spans="1:11" ht="20" customHeight="1">
      <c r="A7" s="2" t="s">
        <v>404</v>
      </c>
      <c r="B7" s="2"/>
      <c r="C7" s="2"/>
      <c r="D7" s="2"/>
      <c r="E7" s="2" t="s">
        <v>422</v>
      </c>
      <c r="F7" s="2" t="s">
        <v>423</v>
      </c>
      <c r="G7" s="2" t="s">
        <v>424</v>
      </c>
      <c r="H7" s="2"/>
      <c r="I7" s="1"/>
      <c r="J7" s="1"/>
      <c r="K7" s="1"/>
    </row>
    <row r="8" spans="1:11" ht="20" customHeight="1">
      <c r="A8" s="2" t="s">
        <v>407</v>
      </c>
      <c r="B8" s="2"/>
      <c r="C8" s="2"/>
      <c r="D8" s="2"/>
      <c r="E8" s="2"/>
      <c r="F8" s="2"/>
      <c r="G8" s="2"/>
      <c r="H8" s="2"/>
      <c r="I8" s="1"/>
      <c r="J8" s="1"/>
      <c r="K8" s="1"/>
    </row>
    <row r="9" spans="1:1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Usage Guide</vt:lpstr>
      <vt:lpstr>Dashboard</vt:lpstr>
      <vt:lpstr>Product Backlog</vt:lpstr>
      <vt:lpstr>Sprint Plan</vt:lpstr>
      <vt:lpstr>Sprint Board</vt:lpstr>
      <vt:lpstr>Release Checklist</vt:lpstr>
      <vt:lpstr>Risks</vt:lpstr>
      <vt:lpstr>Demo Scripts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Dương Quốc Hiếu</cp:lastModifiedBy>
  <dcterms:modified xsi:type="dcterms:W3CDTF">2026-05-20T19:51:21Z</dcterms:modified>
</cp:coreProperties>
</file>